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PSDM BALANGAN 2021\Digta Sunanpraja's Project\"/>
    </mc:Choice>
  </mc:AlternateContent>
  <xr:revisionPtr revIDLastSave="0" documentId="13_ncr:1_{A60207C9-8189-46F3-9931-B9B618D14D59}" xr6:coauthVersionLast="47" xr6:coauthVersionMax="47" xr10:uidLastSave="{00000000-0000-0000-0000-000000000000}"/>
  <bookViews>
    <workbookView xWindow="-98" yWindow="-98" windowWidth="19396" windowHeight="11475" firstSheet="1" activeTab="3" xr2:uid="{00000000-000D-0000-FFFF-FFFF00000000}"/>
  </bookViews>
  <sheets>
    <sheet name="LUAR DAERAH." sheetId="1" state="hidden" r:id="rId1"/>
    <sheet name="Luar Daerah" sheetId="2" r:id="rId2"/>
    <sheet name="Dalam Daerah" sheetId="3" r:id="rId3"/>
    <sheet name="Paket Meeting" sheetId="5" r:id="rId4"/>
  </sheets>
  <definedNames>
    <definedName name="_xlnm._FilterDatabase" localSheetId="0" hidden="1">'LUAR DAERAH.'!$A$6:$AR$29</definedName>
    <definedName name="_xlnm._FilterDatabas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5" l="1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P11" i="5"/>
  <c r="P12" i="5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V11" i="3"/>
  <c r="V12" i="3"/>
  <c r="R11" i="3"/>
  <c r="R42" i="3"/>
  <c r="AC11" i="3"/>
  <c r="AC42" i="3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V11" i="2"/>
  <c r="AW11" i="2" s="1"/>
  <c r="AV12" i="2"/>
  <c r="AW12" i="2" s="1"/>
  <c r="AV13" i="2"/>
  <c r="AW13" i="2" s="1"/>
  <c r="AV14" i="2"/>
  <c r="AW14" i="2" s="1"/>
  <c r="AV15" i="2"/>
  <c r="AW15" i="2" s="1"/>
  <c r="AV16" i="2"/>
  <c r="AW16" i="2" s="1"/>
  <c r="AV17" i="2"/>
  <c r="AW17" i="2" s="1"/>
  <c r="AV18" i="2"/>
  <c r="AW18" i="2" s="1"/>
  <c r="AV19" i="2"/>
  <c r="AW19" i="2" s="1"/>
  <c r="AV20" i="2"/>
  <c r="AW20" i="2" s="1"/>
  <c r="AV21" i="2"/>
  <c r="AW21" i="2" s="1"/>
  <c r="AV22" i="2"/>
  <c r="AW22" i="2" s="1"/>
  <c r="AV23" i="2"/>
  <c r="AW23" i="2" s="1"/>
  <c r="AV24" i="2"/>
  <c r="AW24" i="2" s="1"/>
  <c r="AV25" i="2"/>
  <c r="AW25" i="2" s="1"/>
  <c r="AV26" i="2"/>
  <c r="AW26" i="2" s="1"/>
  <c r="AV27" i="2"/>
  <c r="AW27" i="2" s="1"/>
  <c r="AV28" i="2"/>
  <c r="AW28" i="2" s="1"/>
  <c r="AV29" i="2"/>
  <c r="AW29" i="2" s="1"/>
  <c r="AV30" i="2"/>
  <c r="AW30" i="2" s="1"/>
  <c r="AV31" i="2"/>
  <c r="AW31" i="2" s="1"/>
  <c r="AV32" i="2"/>
  <c r="AW32" i="2" s="1"/>
  <c r="AV33" i="2"/>
  <c r="AW33" i="2" s="1"/>
  <c r="AV34" i="2"/>
  <c r="AW34" i="2" s="1"/>
  <c r="AV35" i="2"/>
  <c r="AW35" i="2" s="1"/>
  <c r="AV36" i="2"/>
  <c r="AW36" i="2" s="1"/>
  <c r="AV37" i="2"/>
  <c r="AW37" i="2" s="1"/>
  <c r="AV38" i="2"/>
  <c r="AW38" i="2" s="1"/>
  <c r="AV39" i="2"/>
  <c r="AW39" i="2" s="1"/>
  <c r="AV40" i="2"/>
  <c r="AW40" i="2" s="1"/>
  <c r="AV41" i="2"/>
  <c r="AW41" i="2" s="1"/>
  <c r="AV42" i="2"/>
  <c r="AW42" i="2" s="1"/>
  <c r="AV10" i="2"/>
  <c r="AC10" i="2"/>
  <c r="P10" i="5" l="1"/>
  <c r="AC10" i="3" l="1"/>
  <c r="V10" i="3"/>
  <c r="R10" i="3"/>
  <c r="AD10" i="3" s="1"/>
  <c r="V10" i="2"/>
  <c r="R10" i="2"/>
  <c r="AW10" i="2" l="1"/>
  <c r="AR29" i="1"/>
</calcChain>
</file>

<file path=xl/sharedStrings.xml><?xml version="1.0" encoding="utf-8"?>
<sst xmlns="http://schemas.openxmlformats.org/spreadsheetml/2006/main" count="199" uniqueCount="113">
  <si>
    <t>DATA PERJALANAN DINAS SEMUA OPD</t>
  </si>
  <si>
    <t>No</t>
  </si>
  <si>
    <t>Nama OPD / Bagian</t>
  </si>
  <si>
    <t>Jenis Perjalanan Dinas</t>
  </si>
  <si>
    <t>No. Bukti (SP2D / SPJ)</t>
  </si>
  <si>
    <t>Tgl. Bukti</t>
  </si>
  <si>
    <t>Nama Lengkap Tanpa Gelar</t>
  </si>
  <si>
    <t>NIP</t>
  </si>
  <si>
    <t>Nomor Surat Tugas</t>
  </si>
  <si>
    <t>Tanggal Surat Tugas</t>
  </si>
  <si>
    <t>Keperluan Perjalanan Dinas</t>
  </si>
  <si>
    <t>Jabatan</t>
  </si>
  <si>
    <t>Tujuan</t>
  </si>
  <si>
    <t>PEJABAT YANG MENANDATANGANI SPD</t>
  </si>
  <si>
    <t>SPPD</t>
  </si>
  <si>
    <t>Rincian Biaya</t>
  </si>
  <si>
    <t>TOTAL BIAYA</t>
  </si>
  <si>
    <t>Uang Harian</t>
  </si>
  <si>
    <t>Biaya Lainya</t>
  </si>
  <si>
    <t>Penginapan</t>
  </si>
  <si>
    <t>Tiket</t>
  </si>
  <si>
    <t>Total Biaya Tiket</t>
  </si>
  <si>
    <t>TANGGAL</t>
  </si>
  <si>
    <t>Lama Hari</t>
  </si>
  <si>
    <t>Per Hari</t>
  </si>
  <si>
    <t>Total</t>
  </si>
  <si>
    <t>Taxi / Transportasi</t>
  </si>
  <si>
    <t>Representasi</t>
  </si>
  <si>
    <t>Kontribusi</t>
  </si>
  <si>
    <t>Nama Hotel</t>
  </si>
  <si>
    <t>Nomor Kamar</t>
  </si>
  <si>
    <t>Jumlah Malam</t>
  </si>
  <si>
    <t>Rate/malam</t>
  </si>
  <si>
    <t>Total Biaya Penginapan</t>
  </si>
  <si>
    <t>Dari</t>
  </si>
  <si>
    <t>Berangkat</t>
  </si>
  <si>
    <t>Pulang</t>
  </si>
  <si>
    <t>Nama</t>
  </si>
  <si>
    <t>BERANGKAT</t>
  </si>
  <si>
    <t>KEMBALI</t>
  </si>
  <si>
    <t>Tanggal</t>
  </si>
  <si>
    <t>Pswt/Kreta Api/Kapal Laut</t>
  </si>
  <si>
    <t>Nomor Penerbangan (untuk Pswt)</t>
  </si>
  <si>
    <t>Nomor Tiket</t>
  </si>
  <si>
    <t>Kode Booking</t>
  </si>
  <si>
    <t>Harga</t>
  </si>
  <si>
    <t>19 = 17x18</t>
  </si>
  <si>
    <t>23 = 20+21+22</t>
  </si>
  <si>
    <t>27 = 25+26</t>
  </si>
  <si>
    <t>42 = 35+41</t>
  </si>
  <si>
    <t>43 = 19+23+27+42</t>
  </si>
  <si>
    <t>(Antigen 106.000)</t>
  </si>
  <si>
    <t>Kendari, 07 Oktober 2022</t>
  </si>
  <si>
    <t>Kepala Dinas Dikmudora</t>
  </si>
  <si>
    <t>Hj. Saemina, S.Pd., M.Pd</t>
  </si>
  <si>
    <t>NIP. 19670326 1998022022</t>
  </si>
  <si>
    <t>Lampiran 3</t>
  </si>
  <si>
    <t>No.</t>
  </si>
  <si>
    <t>NO. SP2D</t>
  </si>
  <si>
    <t>TANGGAL SP2D</t>
  </si>
  <si>
    <t>NO. TBK</t>
  </si>
  <si>
    <t xml:space="preserve">NAMA LENGKAP TANPA GELAR  </t>
  </si>
  <si>
    <t>NOMOR SURAT TUGAS</t>
  </si>
  <si>
    <t>TANGGAL SURAT TUGAS
(dd/mm/yyyy)</t>
  </si>
  <si>
    <t>KEPERLUAN PERJALANAN DINAS</t>
  </si>
  <si>
    <t>JUMLAH DIBAYARKAN</t>
  </si>
  <si>
    <t>GOL. PEGAWAI</t>
  </si>
  <si>
    <t>TUJUAN</t>
  </si>
  <si>
    <t>RINCIAN BIAYA</t>
  </si>
  <si>
    <t>BIAYA LAINNYA</t>
  </si>
  <si>
    <t>BIAYA PENGINAPAN</t>
  </si>
  <si>
    <t>Perhari</t>
  </si>
  <si>
    <t>Taksi/Transportasi</t>
  </si>
  <si>
    <t>Total Biaya Lainnya</t>
  </si>
  <si>
    <t>Tanggal Masuk
(dd/mm/yyyy)</t>
  </si>
  <si>
    <t>Tanggal Keluar
(dd/mm/yyyy)</t>
  </si>
  <si>
    <t>No. Kamar</t>
  </si>
  <si>
    <t xml:space="preserve">Kembali </t>
  </si>
  <si>
    <t>Kembali</t>
  </si>
  <si>
    <t>Tanggal
(dd/mm/yyyy)</t>
  </si>
  <si>
    <t>Nama Maskapai/Kapal</t>
  </si>
  <si>
    <t>Kode Penerbangan</t>
  </si>
  <si>
    <t>Asal</t>
  </si>
  <si>
    <t>18=16x17</t>
  </si>
  <si>
    <t>22=19+20+21</t>
  </si>
  <si>
    <t>29=26x28</t>
  </si>
  <si>
    <t>48=39+47</t>
  </si>
  <si>
    <t>49=18+22+29+48</t>
  </si>
  <si>
    <t>Total Biaya</t>
  </si>
  <si>
    <t>No. SP2D</t>
  </si>
  <si>
    <t>Tanggal SP2D</t>
  </si>
  <si>
    <t>No. TBK</t>
  </si>
  <si>
    <t>Nama Kegiatan Paket Meeting</t>
  </si>
  <si>
    <t>Nomor Invoice</t>
  </si>
  <si>
    <t>Tanggal Pelaksanaan (dd/mm/yyyy)</t>
  </si>
  <si>
    <t>Jumlah Dibayarkan</t>
  </si>
  <si>
    <t>Jumlah Peserta</t>
  </si>
  <si>
    <t>Jumlah Pax</t>
  </si>
  <si>
    <t>Tanggal Masuk (dd/mm/yyyy)</t>
  </si>
  <si>
    <t>Tanggal Keluar (dd/mm/yyyy)</t>
  </si>
  <si>
    <t>Jumlah Hari</t>
  </si>
  <si>
    <t>Jenis Pengadaan Paket Meeting</t>
  </si>
  <si>
    <t>16=14x15</t>
  </si>
  <si>
    <t>Nilai per Pax (Rp)</t>
  </si>
  <si>
    <t>Total Dibayarkan (Rp)</t>
  </si>
  <si>
    <t>JENIS PERJALANAN DINAS 
(Luar Daerah Kab Balangan)</t>
  </si>
  <si>
    <t>JENIS PERJALANAN DINAS 
(Dalam Daerah Kab Balangan)</t>
  </si>
  <si>
    <t>Lampiran 13</t>
  </si>
  <si>
    <t>BIDANG …................</t>
  </si>
  <si>
    <t>BADAN KEPEGAWAIAN DAN PENGEMBANGAN SUMBER DAYA MANUSIA KABUPATEN BALANGAN</t>
  </si>
  <si>
    <t>Rekap Biaya Perjalanan Dinas Paket Meeting Tahun 2026</t>
  </si>
  <si>
    <t>Rekap Biaya Perjalanan Dinas Luar Daerah Tahun 2026</t>
  </si>
  <si>
    <t>Rekap Biaya Perjalanan Dinas Dalam Daerah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</si>
</sst>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d/mm/yyyy;@"/>
    <numFmt numFmtId="167" formatCode="[$-409]d\-mmm\-yyyy;@"/>
    <numFmt numFmtId="168" formatCode="0_);\(0\)"/>
    <numFmt numFmtId="169" formatCode="_(* #,##0_);_(* \(#,##0\);_(* &quot;-&quot;??_);_(@_)"/>
    <numFmt numFmtId="170" formatCode="[$-421]dd\ mmmm\ yyyy;@"/>
  </numFmts>
  <fonts count="22" x14ac:knownFonts="1">
    <font>
      <sz val="11"/>
      <name val="Calibri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4"/>
      <color rgb="FF000000"/>
      <name val="Calibri"/>
      <family val="2"/>
    </font>
    <font>
      <b/>
      <sz val="9"/>
      <name val="Times New Roman"/>
      <family val="1"/>
    </font>
    <font>
      <b/>
      <sz val="8"/>
      <name val="Calibri"/>
      <family val="2"/>
    </font>
    <font>
      <b/>
      <sz val="7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sz val="6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  <scheme val="minor"/>
    </font>
    <font>
      <u/>
      <sz val="8"/>
      <color rgb="FF000000"/>
      <name val="Calibri"/>
      <family val="2"/>
      <scheme val="minor"/>
    </font>
    <font>
      <sz val="10"/>
      <name val="Arial"/>
      <family val="2"/>
    </font>
    <font>
      <b/>
      <sz val="10"/>
      <name val="Arial Narrow"/>
      <family val="2"/>
    </font>
    <font>
      <sz val="11"/>
      <color indexed="8"/>
      <name val="Calibri"/>
      <family val="2"/>
      <charset val="1"/>
    </font>
    <font>
      <sz val="11"/>
      <name val="Calibri"/>
      <family val="2"/>
    </font>
    <font>
      <b/>
      <sz val="10"/>
      <name val="Times New Roman"/>
      <family val="1"/>
    </font>
    <font>
      <b/>
      <sz val="11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69EF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165" fontId="2" fillId="0" borderId="0">
      <alignment vertical="top"/>
      <protection locked="0"/>
    </xf>
    <xf numFmtId="164" fontId="2" fillId="0" borderId="0">
      <alignment vertical="top"/>
      <protection locked="0"/>
    </xf>
    <xf numFmtId="0" fontId="2" fillId="0" borderId="0">
      <protection locked="0"/>
    </xf>
    <xf numFmtId="0" fontId="2" fillId="0" borderId="0">
      <protection locked="0"/>
    </xf>
    <xf numFmtId="168" fontId="2" fillId="0" borderId="0">
      <alignment vertical="top"/>
      <protection locked="0"/>
    </xf>
    <xf numFmtId="0" fontId="2" fillId="0" borderId="0">
      <protection locked="0"/>
    </xf>
    <xf numFmtId="165" fontId="2" fillId="0" borderId="0">
      <alignment vertical="top"/>
      <protection locked="0"/>
    </xf>
    <xf numFmtId="165" fontId="2" fillId="0" borderId="0">
      <alignment vertical="top"/>
      <protection locked="0"/>
    </xf>
    <xf numFmtId="0" fontId="18" fillId="0" borderId="0"/>
    <xf numFmtId="0" fontId="16" fillId="0" borderId="0"/>
  </cellStyleXfs>
  <cellXfs count="17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" fontId="2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3" borderId="1" xfId="4" applyFont="1" applyFill="1" applyBorder="1" applyAlignment="1" applyProtection="1">
      <alignment horizontal="center" vertical="center" wrapText="1"/>
    </xf>
    <xf numFmtId="0" fontId="5" fillId="4" borderId="1" xfId="4" applyFont="1" applyFill="1" applyBorder="1" applyAlignment="1" applyProtection="1">
      <alignment horizontal="center" vertical="center" wrapText="1"/>
    </xf>
    <xf numFmtId="1" fontId="5" fillId="4" borderId="1" xfId="4" applyNumberFormat="1" applyFont="1" applyFill="1" applyBorder="1" applyAlignment="1" applyProtection="1">
      <alignment horizontal="center" vertical="center" wrapText="1"/>
    </xf>
    <xf numFmtId="164" fontId="5" fillId="4" borderId="1" xfId="4" applyNumberFormat="1" applyFont="1" applyFill="1" applyBorder="1" applyAlignment="1" applyProtection="1">
      <alignment horizontal="center" vertical="center" wrapText="1"/>
    </xf>
    <xf numFmtId="0" fontId="8" fillId="0" borderId="2" xfId="4" applyFont="1" applyBorder="1" applyAlignment="1" applyProtection="1">
      <alignment horizontal="center" vertical="center" wrapText="1"/>
    </xf>
    <xf numFmtId="0" fontId="8" fillId="0" borderId="2" xfId="4" applyFont="1" applyBorder="1" applyAlignment="1" applyProtection="1">
      <alignment horizontal="left" vertical="center" wrapText="1"/>
    </xf>
    <xf numFmtId="1" fontId="8" fillId="0" borderId="2" xfId="4" applyNumberFormat="1" applyFont="1" applyBorder="1" applyAlignment="1" applyProtection="1">
      <alignment horizontal="center" vertical="center" wrapText="1"/>
    </xf>
    <xf numFmtId="0" fontId="7" fillId="0" borderId="2" xfId="4" applyFont="1" applyBorder="1" applyAlignment="1" applyProtection="1">
      <alignment horizontal="center" vertical="center" wrapText="1"/>
    </xf>
    <xf numFmtId="0" fontId="8" fillId="2" borderId="2" xfId="4" applyFont="1" applyFill="1" applyBorder="1" applyAlignment="1" applyProtection="1">
      <alignment horizontal="center" vertical="center" wrapText="1"/>
    </xf>
    <xf numFmtId="164" fontId="9" fillId="0" borderId="2" xfId="5" applyNumberFormat="1" applyFont="1" applyBorder="1" applyAlignment="1" applyProtection="1">
      <alignment horizontal="center" vertical="center" wrapText="1"/>
    </xf>
    <xf numFmtId="0" fontId="8" fillId="0" borderId="2" xfId="5" quotePrefix="1" applyNumberFormat="1" applyFont="1" applyBorder="1" applyAlignment="1" applyProtection="1">
      <alignment horizontal="center" vertical="center" wrapText="1"/>
    </xf>
    <xf numFmtId="0" fontId="8" fillId="0" borderId="2" xfId="5" applyNumberFormat="1" applyFont="1" applyBorder="1" applyAlignment="1" applyProtection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6" quotePrefix="1" applyFont="1" applyBorder="1" applyAlignment="1" applyProtection="1">
      <alignment vertical="center" wrapText="1"/>
    </xf>
    <xf numFmtId="14" fontId="11" fillId="0" borderId="1" xfId="6" quotePrefix="1" applyNumberFormat="1" applyFont="1" applyBorder="1" applyAlignment="1" applyProtection="1">
      <alignment vertical="center" wrapText="1"/>
    </xf>
    <xf numFmtId="0" fontId="11" fillId="0" borderId="1" xfId="6" applyFont="1" applyBorder="1" applyAlignment="1" applyProtection="1">
      <alignment vertical="center" wrapText="1"/>
    </xf>
    <xf numFmtId="165" fontId="11" fillId="0" borderId="1" xfId="1" quotePrefix="1" applyFont="1" applyBorder="1" applyAlignment="1" applyProtection="1">
      <alignment vertical="center" wrapText="1"/>
    </xf>
    <xf numFmtId="0" fontId="11" fillId="0" borderId="1" xfId="6" quotePrefix="1" applyFont="1" applyBorder="1" applyAlignment="1" applyProtection="1">
      <alignment vertical="center" wrapText="1"/>
    </xf>
    <xf numFmtId="0" fontId="11" fillId="0" borderId="1" xfId="6" applyFont="1" applyBorder="1" applyAlignment="1" applyProtection="1">
      <alignment horizontal="center" vertical="center" wrapText="1"/>
    </xf>
    <xf numFmtId="0" fontId="10" fillId="0" borderId="1" xfId="6" applyFont="1" applyBorder="1" applyAlignment="1" applyProtection="1">
      <alignment horizontal="center" vertical="center" wrapText="1"/>
    </xf>
    <xf numFmtId="0" fontId="11" fillId="0" borderId="1" xfId="6" applyFont="1" applyBorder="1" applyAlignment="1" applyProtection="1">
      <alignment horizontal="left" vertical="center" wrapText="1"/>
    </xf>
    <xf numFmtId="165" fontId="11" fillId="0" borderId="1" xfId="1" quotePrefix="1" applyFont="1" applyBorder="1" applyAlignment="1" applyProtection="1">
      <alignment horizontal="center" vertical="center" wrapText="1"/>
    </xf>
    <xf numFmtId="15" fontId="11" fillId="0" borderId="1" xfId="6" quotePrefix="1" applyNumberFormat="1" applyFont="1" applyBorder="1" applyAlignment="1" applyProtection="1">
      <alignment horizontal="center" vertical="center" wrapText="1"/>
    </xf>
    <xf numFmtId="0" fontId="11" fillId="0" borderId="1" xfId="6" quotePrefix="1" applyFont="1" applyBorder="1" applyAlignment="1" applyProtection="1">
      <alignment horizontal="center" vertical="center" wrapText="1"/>
    </xf>
    <xf numFmtId="169" fontId="11" fillId="0" borderId="1" xfId="7" applyNumberFormat="1" applyFont="1" applyBorder="1" applyAlignment="1" applyProtection="1">
      <alignment horizontal="center" vertical="center" wrapText="1"/>
    </xf>
    <xf numFmtId="169" fontId="10" fillId="0" borderId="1" xfId="1" applyNumberFormat="1" applyFont="1" applyBorder="1" applyAlignment="1" applyProtection="1">
      <alignment horizontal="center" vertical="center" wrapText="1"/>
    </xf>
    <xf numFmtId="169" fontId="11" fillId="0" borderId="1" xfId="8" applyNumberFormat="1" applyFont="1" applyBorder="1" applyAlignment="1" applyProtection="1">
      <alignment horizontal="center" vertical="center" wrapText="1"/>
    </xf>
    <xf numFmtId="169" fontId="10" fillId="0" borderId="1" xfId="1" applyNumberFormat="1" applyFont="1" applyBorder="1" applyAlignment="1">
      <alignment horizontal="center" vertical="center"/>
      <protection locked="0"/>
    </xf>
    <xf numFmtId="0" fontId="10" fillId="0" borderId="1" xfId="0" applyFont="1" applyBorder="1">
      <alignment vertical="center"/>
    </xf>
    <xf numFmtId="0" fontId="12" fillId="0" borderId="1" xfId="0" quotePrefix="1" applyFont="1" applyBorder="1" applyAlignment="1">
      <alignment horizontal="center" vertical="center"/>
    </xf>
    <xf numFmtId="0" fontId="10" fillId="0" borderId="1" xfId="0" quotePrefix="1" applyFont="1" applyBorder="1">
      <alignment vertical="center"/>
    </xf>
    <xf numFmtId="15" fontId="10" fillId="0" borderId="1" xfId="0" quotePrefix="1" applyNumberFormat="1" applyFont="1" applyBorder="1">
      <alignment vertical="center"/>
    </xf>
    <xf numFmtId="164" fontId="10" fillId="0" borderId="1" xfId="0" applyNumberFormat="1" applyFont="1" applyBorder="1" applyAlignment="1">
      <alignment horizontal="center" vertical="center" wrapText="1"/>
    </xf>
    <xf numFmtId="169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/>
    <xf numFmtId="15" fontId="10" fillId="0" borderId="1" xfId="0" quotePrefix="1" applyNumberFormat="1" applyFont="1" applyBorder="1" applyAlignment="1">
      <alignment horizontal="center" vertical="center" wrapText="1"/>
    </xf>
    <xf numFmtId="41" fontId="10" fillId="0" borderId="1" xfId="2" applyNumberFormat="1" applyFont="1" applyBorder="1" applyAlignment="1" applyProtection="1">
      <alignment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5" borderId="1" xfId="6" quotePrefix="1" applyFont="1" applyFill="1" applyBorder="1" applyAlignment="1" applyProtection="1">
      <alignment vertical="center" wrapText="1"/>
    </xf>
    <xf numFmtId="14" fontId="11" fillId="5" borderId="1" xfId="6" quotePrefix="1" applyNumberFormat="1" applyFont="1" applyFill="1" applyBorder="1" applyAlignment="1" applyProtection="1">
      <alignment vertical="center" wrapText="1"/>
    </xf>
    <xf numFmtId="0" fontId="11" fillId="5" borderId="1" xfId="6" applyFont="1" applyFill="1" applyBorder="1" applyAlignment="1" applyProtection="1">
      <alignment vertical="center" wrapText="1"/>
    </xf>
    <xf numFmtId="165" fontId="11" fillId="5" borderId="1" xfId="1" quotePrefix="1" applyFont="1" applyFill="1" applyBorder="1" applyAlignment="1" applyProtection="1">
      <alignment vertical="center" wrapText="1"/>
    </xf>
    <xf numFmtId="0" fontId="11" fillId="5" borderId="1" xfId="6" quotePrefix="1" applyFont="1" applyFill="1" applyBorder="1" applyAlignment="1" applyProtection="1">
      <alignment vertical="center" wrapText="1"/>
    </xf>
    <xf numFmtId="0" fontId="10" fillId="5" borderId="1" xfId="6" applyFont="1" applyFill="1" applyBorder="1" applyAlignment="1" applyProtection="1">
      <alignment horizontal="center" vertical="center" wrapText="1"/>
    </xf>
    <xf numFmtId="0" fontId="11" fillId="5" borderId="1" xfId="6" applyFont="1" applyFill="1" applyBorder="1" applyAlignment="1" applyProtection="1">
      <alignment horizontal="left" vertical="center" wrapText="1"/>
    </xf>
    <xf numFmtId="165" fontId="11" fillId="5" borderId="1" xfId="1" quotePrefix="1" applyFont="1" applyFill="1" applyBorder="1" applyAlignment="1" applyProtection="1">
      <alignment horizontal="center" vertical="center" wrapText="1"/>
    </xf>
    <xf numFmtId="15" fontId="11" fillId="5" borderId="1" xfId="6" quotePrefix="1" applyNumberFormat="1" applyFont="1" applyFill="1" applyBorder="1" applyAlignment="1" applyProtection="1">
      <alignment horizontal="center" vertical="center" wrapText="1"/>
    </xf>
    <xf numFmtId="0" fontId="11" fillId="5" borderId="1" xfId="6" quotePrefix="1" applyFont="1" applyFill="1" applyBorder="1" applyAlignment="1" applyProtection="1">
      <alignment horizontal="center" vertical="center" wrapText="1"/>
    </xf>
    <xf numFmtId="169" fontId="11" fillId="5" borderId="1" xfId="7" applyNumberFormat="1" applyFont="1" applyFill="1" applyBorder="1" applyAlignment="1" applyProtection="1">
      <alignment horizontal="center" vertical="center" wrapText="1"/>
    </xf>
    <xf numFmtId="169" fontId="10" fillId="5" borderId="1" xfId="1" applyNumberFormat="1" applyFont="1" applyFill="1" applyBorder="1" applyAlignment="1" applyProtection="1">
      <alignment horizontal="center" vertical="center" wrapText="1"/>
    </xf>
    <xf numFmtId="169" fontId="11" fillId="5" borderId="1" xfId="8" applyNumberFormat="1" applyFont="1" applyFill="1" applyBorder="1" applyAlignment="1" applyProtection="1">
      <alignment horizontal="center" vertical="center" wrapText="1"/>
    </xf>
    <xf numFmtId="0" fontId="10" fillId="5" borderId="1" xfId="0" applyFont="1" applyFill="1" applyBorder="1" applyAlignment="1"/>
    <xf numFmtId="0" fontId="10" fillId="5" borderId="1" xfId="6" quotePrefix="1" applyFont="1" applyFill="1" applyBorder="1" applyAlignment="1" applyProtection="1">
      <alignment horizontal="center" vertical="center" wrapText="1"/>
    </xf>
    <xf numFmtId="14" fontId="12" fillId="5" borderId="1" xfId="0" applyNumberFormat="1" applyFont="1" applyFill="1" applyBorder="1" applyAlignment="1">
      <alignment horizontal="center"/>
    </xf>
    <xf numFmtId="41" fontId="10" fillId="5" borderId="1" xfId="2" applyNumberFormat="1" applyFont="1" applyFill="1" applyBorder="1" applyAlignment="1" applyProtection="1">
      <alignment horizontal="center" vertical="center" wrapText="1"/>
    </xf>
    <xf numFmtId="164" fontId="10" fillId="5" borderId="1" xfId="0" applyNumberFormat="1" applyFont="1" applyFill="1" applyBorder="1" applyAlignment="1">
      <alignment horizontal="center" vertical="center" wrapText="1"/>
    </xf>
    <xf numFmtId="169" fontId="13" fillId="5" borderId="1" xfId="0" applyNumberFormat="1" applyFont="1" applyFill="1" applyBorder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1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7" fontId="14" fillId="0" borderId="0" xfId="0" applyNumberFormat="1" applyFont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7" fillId="6" borderId="1" xfId="4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right" vertical="center"/>
    </xf>
    <xf numFmtId="0" fontId="17" fillId="9" borderId="11" xfId="4" applyFont="1" applyFill="1" applyBorder="1" applyAlignment="1" applyProtection="1">
      <alignment horizontal="center"/>
    </xf>
    <xf numFmtId="170" fontId="17" fillId="11" borderId="1" xfId="10" applyNumberFormat="1" applyFont="1" applyFill="1" applyBorder="1" applyAlignment="1">
      <alignment horizontal="center" vertical="center" wrapText="1"/>
    </xf>
    <xf numFmtId="170" fontId="17" fillId="11" borderId="1" xfId="10" applyNumberFormat="1" applyFont="1" applyFill="1" applyBorder="1" applyAlignment="1">
      <alignment horizontal="center" vertical="center"/>
    </xf>
    <xf numFmtId="0" fontId="20" fillId="0" borderId="0" xfId="10" applyFont="1" applyAlignment="1">
      <alignment horizontal="center"/>
    </xf>
    <xf numFmtId="0" fontId="5" fillId="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0" fillId="0" borderId="1" xfId="0" quotePrefix="1" applyBorder="1">
      <alignment vertical="center"/>
    </xf>
    <xf numFmtId="0" fontId="19" fillId="0" borderId="1" xfId="0" applyFont="1" applyBorder="1">
      <alignment vertical="center"/>
    </xf>
    <xf numFmtId="0" fontId="5" fillId="3" borderId="1" xfId="4" applyFont="1" applyFill="1" applyBorder="1" applyAlignment="1" applyProtection="1">
      <alignment horizontal="center" vertical="center" wrapText="1"/>
    </xf>
    <xf numFmtId="0" fontId="4" fillId="3" borderId="1" xfId="3" applyFont="1" applyFill="1" applyBorder="1" applyAlignment="1" applyProtection="1">
      <alignment horizontal="center" vertical="center" wrapText="1"/>
    </xf>
    <xf numFmtId="166" fontId="4" fillId="3" borderId="1" xfId="3" applyNumberFormat="1" applyFont="1" applyFill="1" applyBorder="1" applyAlignment="1" applyProtection="1">
      <alignment horizontal="center" vertical="center" wrapText="1"/>
    </xf>
    <xf numFmtId="1" fontId="4" fillId="3" borderId="1" xfId="3" applyNumberFormat="1" applyFont="1" applyFill="1" applyBorder="1" applyAlignment="1" applyProtection="1">
      <alignment horizontal="center" vertical="center" wrapText="1"/>
    </xf>
    <xf numFmtId="0" fontId="4" fillId="3" borderId="2" xfId="3" applyFont="1" applyFill="1" applyBorder="1" applyAlignment="1" applyProtection="1">
      <alignment horizontal="center" vertical="center" wrapText="1"/>
    </xf>
    <xf numFmtId="0" fontId="4" fillId="3" borderId="8" xfId="3" applyFont="1" applyFill="1" applyBorder="1" applyAlignment="1" applyProtection="1">
      <alignment horizontal="center" vertical="center" wrapText="1"/>
    </xf>
    <xf numFmtId="0" fontId="4" fillId="3" borderId="11" xfId="3" applyFont="1" applyFill="1" applyBorder="1" applyAlignment="1" applyProtection="1">
      <alignment horizontal="center" vertical="center" wrapText="1"/>
    </xf>
    <xf numFmtId="167" fontId="4" fillId="3" borderId="1" xfId="3" applyNumberFormat="1" applyFont="1" applyFill="1" applyBorder="1" applyAlignment="1" applyProtection="1">
      <alignment horizontal="center" vertical="center" wrapText="1"/>
    </xf>
    <xf numFmtId="0" fontId="5" fillId="3" borderId="3" xfId="4" applyFont="1" applyFill="1" applyBorder="1" applyAlignment="1" applyProtection="1">
      <alignment horizontal="center" vertical="center" wrapText="1"/>
    </xf>
    <xf numFmtId="0" fontId="5" fillId="3" borderId="4" xfId="4" applyFont="1" applyFill="1" applyBorder="1" applyAlignment="1" applyProtection="1">
      <alignment horizontal="center" vertical="center" wrapText="1"/>
    </xf>
    <xf numFmtId="0" fontId="5" fillId="3" borderId="9" xfId="4" applyFont="1" applyFill="1" applyBorder="1" applyAlignment="1" applyProtection="1">
      <alignment horizontal="center" vertical="center" wrapText="1"/>
    </xf>
    <xf numFmtId="0" fontId="5" fillId="3" borderId="10" xfId="4" applyFont="1" applyFill="1" applyBorder="1" applyAlignment="1" applyProtection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5" xfId="4" applyFont="1" applyFill="1" applyBorder="1" applyAlignment="1" applyProtection="1">
      <alignment horizontal="center" vertical="center" wrapText="1"/>
    </xf>
    <xf numFmtId="0" fontId="5" fillId="4" borderId="6" xfId="4" applyFont="1" applyFill="1" applyBorder="1" applyAlignment="1" applyProtection="1">
      <alignment horizontal="center" vertical="center" wrapText="1"/>
    </xf>
    <xf numFmtId="0" fontId="5" fillId="4" borderId="7" xfId="4" applyFont="1" applyFill="1" applyBorder="1" applyAlignment="1" applyProtection="1">
      <alignment horizontal="center" vertical="center" wrapText="1"/>
    </xf>
    <xf numFmtId="164" fontId="5" fillId="4" borderId="5" xfId="4" applyNumberFormat="1" applyFont="1" applyFill="1" applyBorder="1" applyAlignment="1" applyProtection="1">
      <alignment horizontal="center" vertical="center" wrapText="1"/>
    </xf>
    <xf numFmtId="164" fontId="5" fillId="4" borderId="6" xfId="4" applyNumberFormat="1" applyFont="1" applyFill="1" applyBorder="1" applyAlignment="1" applyProtection="1">
      <alignment horizontal="center" vertical="center" wrapText="1"/>
    </xf>
    <xf numFmtId="164" fontId="5" fillId="4" borderId="7" xfId="4" applyNumberFormat="1" applyFont="1" applyFill="1" applyBorder="1" applyAlignment="1" applyProtection="1">
      <alignment horizontal="center" vertical="center" wrapText="1"/>
    </xf>
    <xf numFmtId="164" fontId="5" fillId="4" borderId="1" xfId="4" applyNumberFormat="1" applyFont="1" applyFill="1" applyBorder="1" applyAlignment="1" applyProtection="1">
      <alignment horizontal="center" vertical="center" wrapText="1"/>
    </xf>
    <xf numFmtId="0" fontId="5" fillId="4" borderId="1" xfId="4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7" fillId="4" borderId="1" xfId="4" applyNumberFormat="1" applyFont="1" applyFill="1" applyBorder="1" applyAlignment="1" applyProtection="1">
      <alignment horizontal="center" vertical="center" wrapText="1"/>
    </xf>
    <xf numFmtId="164" fontId="5" fillId="4" borderId="2" xfId="4" applyNumberFormat="1" applyFont="1" applyFill="1" applyBorder="1" applyAlignment="1" applyProtection="1">
      <alignment horizontal="center" vertical="center" wrapText="1"/>
    </xf>
    <xf numFmtId="164" fontId="5" fillId="4" borderId="11" xfId="4" applyNumberFormat="1" applyFont="1" applyFill="1" applyBorder="1" applyAlignment="1" applyProtection="1">
      <alignment horizontal="center" vertical="center" wrapText="1"/>
    </xf>
    <xf numFmtId="0" fontId="5" fillId="4" borderId="2" xfId="4" applyFont="1" applyFill="1" applyBorder="1" applyAlignment="1" applyProtection="1">
      <alignment horizontal="center" vertical="center" wrapText="1"/>
    </xf>
    <xf numFmtId="0" fontId="5" fillId="4" borderId="11" xfId="4" applyFont="1" applyFill="1" applyBorder="1" applyAlignment="1" applyProtection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7" fillId="11" borderId="2" xfId="9" applyFont="1" applyFill="1" applyBorder="1" applyAlignment="1">
      <alignment horizontal="center" vertical="center" wrapText="1"/>
    </xf>
    <xf numFmtId="0" fontId="17" fillId="11" borderId="8" xfId="9" applyFont="1" applyFill="1" applyBorder="1" applyAlignment="1">
      <alignment horizontal="center" vertical="center" wrapText="1"/>
    </xf>
    <xf numFmtId="0" fontId="17" fillId="11" borderId="11" xfId="9" applyFont="1" applyFill="1" applyBorder="1" applyAlignment="1">
      <alignment horizontal="center" vertical="center" wrapText="1"/>
    </xf>
    <xf numFmtId="169" fontId="17" fillId="3" borderId="2" xfId="1" applyNumberFormat="1" applyFont="1" applyFill="1" applyBorder="1" applyAlignment="1" applyProtection="1">
      <alignment horizontal="center" vertical="center" wrapText="1"/>
    </xf>
    <xf numFmtId="169" fontId="17" fillId="3" borderId="11" xfId="1" applyNumberFormat="1" applyFont="1" applyFill="1" applyBorder="1" applyAlignment="1" applyProtection="1">
      <alignment horizontal="center" vertical="center" wrapText="1"/>
    </xf>
    <xf numFmtId="0" fontId="17" fillId="11" borderId="2" xfId="10" applyFont="1" applyFill="1" applyBorder="1" applyAlignment="1">
      <alignment horizontal="center" vertical="center" wrapText="1"/>
    </xf>
    <xf numFmtId="0" fontId="17" fillId="11" borderId="11" xfId="10" applyFont="1" applyFill="1" applyBorder="1" applyAlignment="1">
      <alignment horizontal="center" vertical="center" wrapText="1"/>
    </xf>
    <xf numFmtId="0" fontId="21" fillId="10" borderId="2" xfId="4" applyFont="1" applyFill="1" applyBorder="1" applyAlignment="1" applyProtection="1">
      <alignment horizontal="center" vertical="center" wrapText="1"/>
    </xf>
    <xf numFmtId="0" fontId="21" fillId="10" borderId="11" xfId="4" applyFont="1" applyFill="1" applyBorder="1" applyAlignment="1" applyProtection="1">
      <alignment horizontal="center" vertical="center" wrapText="1"/>
    </xf>
    <xf numFmtId="0" fontId="17" fillId="11" borderId="5" xfId="9" applyFont="1" applyFill="1" applyBorder="1" applyAlignment="1">
      <alignment horizontal="center" vertical="center" wrapText="1"/>
    </xf>
    <xf numFmtId="0" fontId="17" fillId="11" borderId="6" xfId="9" applyFont="1" applyFill="1" applyBorder="1" applyAlignment="1">
      <alignment horizontal="center" vertical="center" wrapText="1"/>
    </xf>
    <xf numFmtId="0" fontId="17" fillId="11" borderId="7" xfId="9" applyFont="1" applyFill="1" applyBorder="1" applyAlignment="1">
      <alignment horizontal="center" vertical="center" wrapText="1"/>
    </xf>
    <xf numFmtId="170" fontId="17" fillId="11" borderId="5" xfId="10" applyNumberFormat="1" applyFont="1" applyFill="1" applyBorder="1" applyAlignment="1">
      <alignment horizontal="center"/>
    </xf>
    <xf numFmtId="170" fontId="17" fillId="11" borderId="6" xfId="10" applyNumberFormat="1" applyFont="1" applyFill="1" applyBorder="1" applyAlignment="1">
      <alignment horizontal="center"/>
    </xf>
    <xf numFmtId="170" fontId="17" fillId="11" borderId="7" xfId="10" applyNumberFormat="1" applyFont="1" applyFill="1" applyBorder="1" applyAlignment="1">
      <alignment horizontal="center"/>
    </xf>
    <xf numFmtId="0" fontId="17" fillId="6" borderId="1" xfId="4" applyFont="1" applyFill="1" applyBorder="1" applyAlignment="1" applyProtection="1">
      <alignment horizontal="center"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21" fillId="13" borderId="8" xfId="0" applyFont="1" applyFill="1" applyBorder="1" applyAlignment="1">
      <alignment horizontal="center" vertical="center" wrapText="1"/>
    </xf>
    <xf numFmtId="0" fontId="21" fillId="13" borderId="11" xfId="0" applyFont="1" applyFill="1" applyBorder="1" applyAlignment="1">
      <alignment horizontal="center" vertical="center" wrapText="1"/>
    </xf>
    <xf numFmtId="0" fontId="17" fillId="6" borderId="3" xfId="4" applyFont="1" applyFill="1" applyBorder="1" applyAlignment="1" applyProtection="1">
      <alignment horizontal="center" vertical="center" wrapText="1"/>
    </xf>
    <xf numFmtId="0" fontId="17" fillId="6" borderId="4" xfId="4" applyFont="1" applyFill="1" applyBorder="1" applyAlignment="1" applyProtection="1">
      <alignment horizontal="center" vertical="center" wrapText="1"/>
    </xf>
    <xf numFmtId="0" fontId="17" fillId="6" borderId="9" xfId="4" applyFont="1" applyFill="1" applyBorder="1" applyAlignment="1" applyProtection="1">
      <alignment horizontal="center" vertical="center" wrapText="1"/>
    </xf>
    <xf numFmtId="0" fontId="17" fillId="6" borderId="10" xfId="4" applyFont="1" applyFill="1" applyBorder="1" applyAlignment="1" applyProtection="1">
      <alignment horizontal="center" vertical="center" wrapText="1"/>
    </xf>
    <xf numFmtId="169" fontId="17" fillId="7" borderId="3" xfId="1" applyNumberFormat="1" applyFont="1" applyFill="1" applyBorder="1" applyAlignment="1" applyProtection="1">
      <alignment horizontal="center" vertical="center" wrapText="1"/>
    </xf>
    <xf numFmtId="169" fontId="17" fillId="7" borderId="12" xfId="1" applyNumberFormat="1" applyFont="1" applyFill="1" applyBorder="1" applyAlignment="1" applyProtection="1">
      <alignment horizontal="center" vertical="center" wrapText="1"/>
    </xf>
    <xf numFmtId="169" fontId="17" fillId="7" borderId="4" xfId="1" applyNumberFormat="1" applyFont="1" applyFill="1" applyBorder="1" applyAlignment="1" applyProtection="1">
      <alignment horizontal="center" vertical="center" wrapText="1"/>
    </xf>
    <xf numFmtId="169" fontId="17" fillId="7" borderId="9" xfId="1" applyNumberFormat="1" applyFont="1" applyFill="1" applyBorder="1" applyAlignment="1" applyProtection="1">
      <alignment horizontal="center" vertical="center" wrapText="1"/>
    </xf>
    <xf numFmtId="169" fontId="17" fillId="7" borderId="13" xfId="1" applyNumberFormat="1" applyFont="1" applyFill="1" applyBorder="1" applyAlignment="1" applyProtection="1">
      <alignment horizontal="center" vertical="center" wrapText="1"/>
    </xf>
    <xf numFmtId="169" fontId="17" fillId="7" borderId="10" xfId="1" applyNumberFormat="1" applyFont="1" applyFill="1" applyBorder="1" applyAlignment="1" applyProtection="1">
      <alignment horizontal="center" vertical="center" wrapText="1"/>
    </xf>
    <xf numFmtId="164" fontId="21" fillId="10" borderId="2" xfId="4" applyNumberFormat="1" applyFont="1" applyFill="1" applyBorder="1" applyAlignment="1" applyProtection="1">
      <alignment horizontal="center" vertical="center" wrapText="1"/>
    </xf>
    <xf numFmtId="164" fontId="21" fillId="10" borderId="11" xfId="4" applyNumberFormat="1" applyFont="1" applyFill="1" applyBorder="1" applyAlignment="1" applyProtection="1">
      <alignment horizontal="center" vertical="center" wrapText="1"/>
    </xf>
    <xf numFmtId="169" fontId="17" fillId="3" borderId="5" xfId="1" applyNumberFormat="1" applyFont="1" applyFill="1" applyBorder="1" applyAlignment="1" applyProtection="1">
      <alignment horizontal="center" vertical="center" wrapText="1"/>
    </xf>
    <xf numFmtId="169" fontId="17" fillId="3" borderId="6" xfId="1" applyNumberFormat="1" applyFont="1" applyFill="1" applyBorder="1" applyAlignment="1" applyProtection="1">
      <alignment horizontal="center" vertical="center" wrapText="1"/>
    </xf>
    <xf numFmtId="169" fontId="17" fillId="3" borderId="7" xfId="1" applyNumberFormat="1" applyFont="1" applyFill="1" applyBorder="1" applyAlignment="1" applyProtection="1">
      <alignment horizontal="center" vertical="center" wrapText="1"/>
    </xf>
    <xf numFmtId="169" fontId="17" fillId="10" borderId="5" xfId="1" applyNumberFormat="1" applyFont="1" applyFill="1" applyBorder="1" applyAlignment="1" applyProtection="1">
      <alignment horizontal="center" vertical="center" wrapText="1"/>
    </xf>
    <xf numFmtId="169" fontId="17" fillId="10" borderId="6" xfId="1" applyNumberFormat="1" applyFont="1" applyFill="1" applyBorder="1" applyAlignment="1" applyProtection="1">
      <alignment horizontal="center" vertical="center" wrapText="1"/>
    </xf>
    <xf numFmtId="169" fontId="17" fillId="10" borderId="7" xfId="1" applyNumberFormat="1" applyFont="1" applyFill="1" applyBorder="1" applyAlignment="1" applyProtection="1">
      <alignment horizontal="center" vertical="center" wrapText="1"/>
    </xf>
    <xf numFmtId="169" fontId="17" fillId="7" borderId="1" xfId="1" applyNumberFormat="1" applyFont="1" applyFill="1" applyBorder="1" applyAlignment="1" applyProtection="1">
      <alignment horizontal="center" vertical="center" wrapText="1"/>
    </xf>
    <xf numFmtId="0" fontId="20" fillId="0" borderId="0" xfId="10" applyFont="1" applyAlignment="1">
      <alignment horizontal="center"/>
    </xf>
    <xf numFmtId="0" fontId="21" fillId="12" borderId="5" xfId="0" applyFont="1" applyFill="1" applyBorder="1" applyAlignment="1">
      <alignment horizontal="center" vertical="center"/>
    </xf>
    <xf numFmtId="0" fontId="21" fillId="12" borderId="6" xfId="0" applyFont="1" applyFill="1" applyBorder="1" applyAlignment="1">
      <alignment horizontal="center" vertical="center"/>
    </xf>
    <xf numFmtId="0" fontId="21" fillId="12" borderId="7" xfId="0" applyFont="1" applyFill="1" applyBorder="1" applyAlignment="1">
      <alignment horizontal="center" vertical="center"/>
    </xf>
    <xf numFmtId="0" fontId="17" fillId="7" borderId="1" xfId="4" applyFont="1" applyFill="1" applyBorder="1" applyAlignment="1" applyProtection="1">
      <alignment horizontal="center" vertical="center" wrapText="1"/>
    </xf>
    <xf numFmtId="0" fontId="17" fillId="6" borderId="2" xfId="4" applyFont="1" applyFill="1" applyBorder="1" applyAlignment="1" applyProtection="1">
      <alignment horizontal="center" vertical="center" wrapText="1"/>
    </xf>
    <xf numFmtId="0" fontId="17" fillId="6" borderId="8" xfId="4" applyFont="1" applyFill="1" applyBorder="1" applyAlignment="1" applyProtection="1">
      <alignment horizontal="center" vertical="center" wrapText="1"/>
    </xf>
    <xf numFmtId="0" fontId="17" fillId="6" borderId="11" xfId="4" applyFont="1" applyFill="1" applyBorder="1" applyAlignment="1" applyProtection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3" fontId="0" fillId="0" borderId="1" xfId="0" applyNumberFormat="1" applyBorder="1">
      <alignment vertical="center"/>
    </xf>
    <xf numFmtId="170" fontId="0" fillId="0" borderId="1" xfId="0" applyNumberFormat="1" applyBorder="1">
      <alignment vertical="center"/>
    </xf>
  </cellXfs>
  <cellStyles count="11">
    <cellStyle name="Comma" xfId="1" builtinId="3"/>
    <cellStyle name="Comma [0]" xfId="2" builtinId="6"/>
    <cellStyle name="Comma [0] 2 2" xfId="5" xr:uid="{00000000-0005-0000-0000-000002000000}"/>
    <cellStyle name="Comma 2" xfId="8" xr:uid="{00000000-0005-0000-0000-000003000000}"/>
    <cellStyle name="Comma 5" xfId="7" xr:uid="{00000000-0005-0000-0000-000004000000}"/>
    <cellStyle name="Normal" xfId="0" builtinId="0"/>
    <cellStyle name="Normal 2" xfId="4" xr:uid="{00000000-0005-0000-0000-000006000000}"/>
    <cellStyle name="Normal 3" xfId="3" xr:uid="{00000000-0005-0000-0000-000007000000}"/>
    <cellStyle name="Normal 3 3" xfId="6" xr:uid="{00000000-0005-0000-0000-000008000000}"/>
    <cellStyle name="Normal_(TP 23) PERJALANAN DINAS LAMPIRAN 1B" xfId="9" xr:uid="{00000000-0005-0000-0000-000009000000}"/>
    <cellStyle name="Normal_Lampiran TP SPPD DPRD" xfId="10" xr:uid="{00000000-0005-0000-0000-00000A000000}"/>
  </cellStyles>
  <dxfs count="0"/>
  <tableStyles count="0" defaultTableStyle="TableStyleMedium2" defaultPivotStyle="PivotStyleLight16"/>
  <colors>
    <mruColors>
      <color rgb="FFF69E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S46"/>
  <sheetViews>
    <sheetView showGridLines="0" zoomScale="55" zoomScaleNormal="55" workbookViewId="0">
      <selection activeCell="AE8" sqref="AE8"/>
    </sheetView>
  </sheetViews>
  <sheetFormatPr defaultColWidth="9.1328125" defaultRowHeight="14.25" x14ac:dyDescent="0.45"/>
  <cols>
    <col min="1" max="1" width="3.59765625" style="2" customWidth="1"/>
    <col min="2" max="2" width="20.59765625" style="2" customWidth="1"/>
    <col min="3" max="3" width="13.265625" style="2" customWidth="1"/>
    <col min="4" max="4" width="24.86328125" style="2" customWidth="1"/>
    <col min="5" max="5" width="11.3984375" style="3" customWidth="1"/>
    <col min="6" max="6" width="25.265625" style="4" bestFit="1" customWidth="1"/>
    <col min="7" max="7" width="17.86328125" style="5" bestFit="1" customWidth="1"/>
    <col min="8" max="8" width="13.265625" style="2" customWidth="1"/>
    <col min="9" max="9" width="13.59765625" style="6" customWidth="1"/>
    <col min="10" max="10" width="24.86328125" style="2" customWidth="1"/>
    <col min="11" max="11" width="15.59765625" style="2" customWidth="1"/>
    <col min="12" max="12" width="18.59765625" style="2" bestFit="1" customWidth="1"/>
    <col min="13" max="13" width="9.265625" style="2" bestFit="1" customWidth="1"/>
    <col min="14" max="14" width="17.86328125" style="2" bestFit="1" customWidth="1"/>
    <col min="15" max="15" width="12.59765625" style="2" customWidth="1"/>
    <col min="16" max="16" width="15.265625" style="2" customWidth="1"/>
    <col min="17" max="17" width="7.3984375" style="2" customWidth="1"/>
    <col min="18" max="18" width="11.1328125" style="7" customWidth="1"/>
    <col min="19" max="19" width="12.73046875" style="8" customWidth="1"/>
    <col min="20" max="20" width="17.86328125" style="2" customWidth="1"/>
    <col min="21" max="21" width="12.3984375" style="2" customWidth="1"/>
    <col min="22" max="22" width="10.265625" style="2" customWidth="1"/>
    <col min="23" max="23" width="14.59765625" style="2" customWidth="1"/>
    <col min="24" max="25" width="16.59765625" style="2" customWidth="1"/>
    <col min="26" max="27" width="18.265625" style="2" customWidth="1"/>
    <col min="28" max="28" width="12.3984375" style="2" customWidth="1"/>
    <col min="29" max="29" width="8.86328125" style="2" customWidth="1"/>
    <col min="30" max="30" width="11.86328125" style="2" customWidth="1"/>
    <col min="31" max="31" width="12" style="2" customWidth="1"/>
    <col min="32" max="32" width="16.3984375" style="2" customWidth="1"/>
    <col min="33" max="33" width="20.1328125" style="2" customWidth="1"/>
    <col min="34" max="34" width="16.73046875" style="2" customWidth="1"/>
    <col min="35" max="35" width="12.1328125" style="2" customWidth="1"/>
    <col min="36" max="36" width="13.265625" style="2" customWidth="1"/>
    <col min="37" max="37" width="12.59765625" style="2" customWidth="1"/>
    <col min="38" max="38" width="13.59765625" style="2" customWidth="1"/>
    <col min="39" max="39" width="22.1328125" style="2" customWidth="1"/>
    <col min="40" max="40" width="15.1328125" style="2" customWidth="1"/>
    <col min="41" max="41" width="18" style="2" customWidth="1"/>
    <col min="42" max="42" width="12.3984375" style="2" customWidth="1"/>
    <col min="43" max="43" width="11.3984375" style="2" customWidth="1"/>
    <col min="44" max="44" width="13.86328125" style="2" customWidth="1"/>
    <col min="45" max="45" width="9.1328125" style="2" customWidth="1"/>
    <col min="46" max="16384" width="9.1328125" style="2"/>
  </cols>
  <sheetData>
    <row r="1" spans="1:45" ht="23.25" x14ac:dyDescent="0.45">
      <c r="A1" s="1" t="s">
        <v>0</v>
      </c>
    </row>
    <row r="2" spans="1:45" ht="15" customHeight="1" x14ac:dyDescent="0.45">
      <c r="A2" s="92" t="s">
        <v>1</v>
      </c>
      <c r="B2" s="92" t="s">
        <v>2</v>
      </c>
      <c r="C2" s="92" t="s">
        <v>3</v>
      </c>
      <c r="D2" s="92" t="s">
        <v>4</v>
      </c>
      <c r="E2" s="93" t="s">
        <v>5</v>
      </c>
      <c r="F2" s="92" t="s">
        <v>6</v>
      </c>
      <c r="G2" s="94" t="s">
        <v>7</v>
      </c>
      <c r="H2" s="95" t="s">
        <v>8</v>
      </c>
      <c r="I2" s="98" t="s">
        <v>9</v>
      </c>
      <c r="J2" s="91" t="s">
        <v>10</v>
      </c>
      <c r="K2" s="91" t="s">
        <v>11</v>
      </c>
      <c r="L2" s="91" t="s">
        <v>12</v>
      </c>
      <c r="M2" s="91" t="s">
        <v>13</v>
      </c>
      <c r="N2" s="91"/>
      <c r="O2" s="99" t="s">
        <v>14</v>
      </c>
      <c r="P2" s="100"/>
      <c r="Q2" s="103" t="s">
        <v>15</v>
      </c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5"/>
      <c r="AR2" s="106" t="s">
        <v>16</v>
      </c>
    </row>
    <row r="3" spans="1:45" ht="15" customHeight="1" x14ac:dyDescent="0.45">
      <c r="A3" s="92"/>
      <c r="B3" s="92"/>
      <c r="C3" s="92"/>
      <c r="D3" s="92"/>
      <c r="E3" s="93"/>
      <c r="F3" s="92"/>
      <c r="G3" s="94"/>
      <c r="H3" s="96"/>
      <c r="I3" s="98"/>
      <c r="J3" s="91"/>
      <c r="K3" s="91"/>
      <c r="L3" s="91"/>
      <c r="M3" s="91"/>
      <c r="N3" s="91"/>
      <c r="O3" s="101"/>
      <c r="P3" s="102"/>
      <c r="Q3" s="107" t="s">
        <v>17</v>
      </c>
      <c r="R3" s="108"/>
      <c r="S3" s="109"/>
      <c r="T3" s="110" t="s">
        <v>18</v>
      </c>
      <c r="U3" s="111"/>
      <c r="V3" s="111"/>
      <c r="W3" s="112"/>
      <c r="X3" s="113" t="s">
        <v>19</v>
      </c>
      <c r="Y3" s="113"/>
      <c r="Z3" s="113"/>
      <c r="AA3" s="113"/>
      <c r="AB3" s="113"/>
      <c r="AC3" s="114" t="s">
        <v>20</v>
      </c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5" t="s">
        <v>21</v>
      </c>
      <c r="AR3" s="106"/>
    </row>
    <row r="4" spans="1:45" ht="15" customHeight="1" x14ac:dyDescent="0.45">
      <c r="A4" s="92"/>
      <c r="B4" s="92"/>
      <c r="C4" s="92"/>
      <c r="D4" s="92"/>
      <c r="E4" s="93"/>
      <c r="F4" s="92"/>
      <c r="G4" s="94"/>
      <c r="H4" s="96"/>
      <c r="I4" s="98"/>
      <c r="J4" s="91"/>
      <c r="K4" s="91"/>
      <c r="L4" s="91"/>
      <c r="M4" s="91"/>
      <c r="N4" s="91"/>
      <c r="O4" s="91" t="s">
        <v>22</v>
      </c>
      <c r="P4" s="91"/>
      <c r="Q4" s="114" t="s">
        <v>23</v>
      </c>
      <c r="R4" s="116" t="s">
        <v>24</v>
      </c>
      <c r="S4" s="114" t="s">
        <v>25</v>
      </c>
      <c r="T4" s="117" t="s">
        <v>26</v>
      </c>
      <c r="U4" s="113" t="s">
        <v>27</v>
      </c>
      <c r="V4" s="113" t="s">
        <v>28</v>
      </c>
      <c r="W4" s="114" t="s">
        <v>25</v>
      </c>
      <c r="X4" s="114" t="s">
        <v>29</v>
      </c>
      <c r="Y4" s="119" t="s">
        <v>30</v>
      </c>
      <c r="Z4" s="114" t="s">
        <v>31</v>
      </c>
      <c r="AA4" s="114" t="s">
        <v>32</v>
      </c>
      <c r="AB4" s="113" t="s">
        <v>33</v>
      </c>
      <c r="AC4" s="114" t="s">
        <v>34</v>
      </c>
      <c r="AD4" s="114" t="s">
        <v>12</v>
      </c>
      <c r="AE4" s="114" t="s">
        <v>35</v>
      </c>
      <c r="AF4" s="114"/>
      <c r="AG4" s="114"/>
      <c r="AH4" s="114"/>
      <c r="AI4" s="114"/>
      <c r="AJ4" s="114"/>
      <c r="AK4" s="114" t="s">
        <v>36</v>
      </c>
      <c r="AL4" s="114"/>
      <c r="AM4" s="114"/>
      <c r="AN4" s="114"/>
      <c r="AO4" s="114"/>
      <c r="AP4" s="114"/>
      <c r="AQ4" s="115"/>
      <c r="AR4" s="106"/>
    </row>
    <row r="5" spans="1:45" ht="58.5" customHeight="1" x14ac:dyDescent="0.45">
      <c r="A5" s="92"/>
      <c r="B5" s="92"/>
      <c r="C5" s="92"/>
      <c r="D5" s="92"/>
      <c r="E5" s="93"/>
      <c r="F5" s="92"/>
      <c r="G5" s="94"/>
      <c r="H5" s="97"/>
      <c r="I5" s="98"/>
      <c r="J5" s="91"/>
      <c r="K5" s="91"/>
      <c r="L5" s="91"/>
      <c r="M5" s="9" t="s">
        <v>37</v>
      </c>
      <c r="N5" s="9" t="s">
        <v>7</v>
      </c>
      <c r="O5" s="9" t="s">
        <v>38</v>
      </c>
      <c r="P5" s="9" t="s">
        <v>39</v>
      </c>
      <c r="Q5" s="114"/>
      <c r="R5" s="116"/>
      <c r="S5" s="114"/>
      <c r="T5" s="118"/>
      <c r="U5" s="113"/>
      <c r="V5" s="113"/>
      <c r="W5" s="114"/>
      <c r="X5" s="114"/>
      <c r="Y5" s="120"/>
      <c r="Z5" s="114"/>
      <c r="AA5" s="114"/>
      <c r="AB5" s="113"/>
      <c r="AC5" s="114"/>
      <c r="AD5" s="114"/>
      <c r="AE5" s="10" t="s">
        <v>40</v>
      </c>
      <c r="AF5" s="10" t="s">
        <v>41</v>
      </c>
      <c r="AG5" s="10" t="s">
        <v>42</v>
      </c>
      <c r="AH5" s="11" t="s">
        <v>43</v>
      </c>
      <c r="AI5" s="11" t="s">
        <v>44</v>
      </c>
      <c r="AJ5" s="12" t="s">
        <v>45</v>
      </c>
      <c r="AK5" s="10" t="s">
        <v>40</v>
      </c>
      <c r="AL5" s="10" t="s">
        <v>41</v>
      </c>
      <c r="AM5" s="10" t="s">
        <v>42</v>
      </c>
      <c r="AN5" s="11" t="s">
        <v>43</v>
      </c>
      <c r="AO5" s="11" t="s">
        <v>44</v>
      </c>
      <c r="AP5" s="12" t="s">
        <v>45</v>
      </c>
      <c r="AQ5" s="115"/>
      <c r="AR5" s="106"/>
    </row>
    <row r="6" spans="1:45" ht="28.5" x14ac:dyDescent="0.45">
      <c r="A6" s="13">
        <v>1</v>
      </c>
      <c r="B6" s="13">
        <v>2</v>
      </c>
      <c r="C6" s="13">
        <v>3</v>
      </c>
      <c r="D6" s="13">
        <v>4</v>
      </c>
      <c r="E6" s="13">
        <v>5</v>
      </c>
      <c r="F6" s="14">
        <v>6</v>
      </c>
      <c r="G6" s="15">
        <v>7</v>
      </c>
      <c r="H6" s="13">
        <v>8</v>
      </c>
      <c r="I6" s="13">
        <v>9</v>
      </c>
      <c r="J6" s="13">
        <v>10</v>
      </c>
      <c r="K6" s="13">
        <v>11</v>
      </c>
      <c r="L6" s="13">
        <v>12</v>
      </c>
      <c r="M6" s="13">
        <v>13</v>
      </c>
      <c r="N6" s="13">
        <v>14</v>
      </c>
      <c r="O6" s="13">
        <v>15</v>
      </c>
      <c r="P6" s="13">
        <v>16</v>
      </c>
      <c r="Q6" s="13">
        <v>17</v>
      </c>
      <c r="R6" s="16">
        <v>18</v>
      </c>
      <c r="S6" s="17" t="s">
        <v>46</v>
      </c>
      <c r="T6" s="13">
        <v>20</v>
      </c>
      <c r="U6" s="13">
        <v>21</v>
      </c>
      <c r="V6" s="13">
        <v>22</v>
      </c>
      <c r="W6" s="13" t="s">
        <v>47</v>
      </c>
      <c r="X6" s="13">
        <v>24</v>
      </c>
      <c r="Y6" s="13"/>
      <c r="Z6" s="13">
        <v>25</v>
      </c>
      <c r="AA6" s="18">
        <v>26</v>
      </c>
      <c r="AB6" s="19" t="s">
        <v>48</v>
      </c>
      <c r="AC6" s="20">
        <v>28</v>
      </c>
      <c r="AD6" s="20">
        <v>29</v>
      </c>
      <c r="AE6" s="19">
        <v>30</v>
      </c>
      <c r="AF6" s="20">
        <v>31</v>
      </c>
      <c r="AG6" s="20">
        <v>32</v>
      </c>
      <c r="AH6" s="19">
        <v>33</v>
      </c>
      <c r="AI6" s="20">
        <v>34</v>
      </c>
      <c r="AJ6" s="20">
        <v>35</v>
      </c>
      <c r="AK6" s="19">
        <v>36</v>
      </c>
      <c r="AL6" s="20">
        <v>37</v>
      </c>
      <c r="AM6" s="20">
        <v>38</v>
      </c>
      <c r="AN6" s="19">
        <v>39</v>
      </c>
      <c r="AO6" s="20">
        <v>40</v>
      </c>
      <c r="AP6" s="20">
        <v>41</v>
      </c>
      <c r="AQ6" s="21" t="s">
        <v>49</v>
      </c>
      <c r="AR6" s="21" t="s">
        <v>50</v>
      </c>
    </row>
    <row r="7" spans="1:45" s="7" customFormat="1" ht="42" customHeight="1" x14ac:dyDescent="0.45">
      <c r="A7" s="22">
        <v>1</v>
      </c>
      <c r="B7" s="23"/>
      <c r="C7" s="23"/>
      <c r="D7" s="24"/>
      <c r="E7" s="25"/>
      <c r="F7" s="26"/>
      <c r="G7" s="27"/>
      <c r="H7" s="28"/>
      <c r="I7" s="25"/>
      <c r="J7" s="26"/>
      <c r="K7" s="29"/>
      <c r="L7" s="30"/>
      <c r="M7" s="31"/>
      <c r="N7" s="32"/>
      <c r="O7" s="33"/>
      <c r="P7" s="33"/>
      <c r="Q7" s="34"/>
      <c r="R7" s="35"/>
      <c r="S7" s="35"/>
      <c r="T7" s="36"/>
      <c r="U7" s="35"/>
      <c r="V7" s="22"/>
      <c r="W7" s="37"/>
      <c r="X7" s="22"/>
      <c r="Y7" s="22"/>
      <c r="Z7" s="22"/>
      <c r="AA7" s="38"/>
      <c r="AB7" s="35"/>
      <c r="AC7" s="39"/>
      <c r="AD7" s="22"/>
      <c r="AE7" s="40"/>
      <c r="AF7" s="39"/>
      <c r="AG7" s="41"/>
      <c r="AH7" s="42"/>
      <c r="AI7" s="41"/>
      <c r="AJ7" s="36"/>
      <c r="AK7" s="33"/>
      <c r="AL7" s="39"/>
      <c r="AM7" s="39"/>
      <c r="AN7" s="42"/>
      <c r="AO7" s="39"/>
      <c r="AP7" s="36"/>
      <c r="AQ7" s="43"/>
      <c r="AR7" s="44"/>
      <c r="AS7" s="2"/>
    </row>
    <row r="8" spans="1:45" s="7" customFormat="1" ht="42" customHeight="1" x14ac:dyDescent="0.35">
      <c r="A8" s="22">
        <v>2</v>
      </c>
      <c r="B8" s="23"/>
      <c r="C8" s="23"/>
      <c r="D8" s="24"/>
      <c r="E8" s="25"/>
      <c r="F8" s="26"/>
      <c r="G8" s="27"/>
      <c r="H8" s="28"/>
      <c r="I8" s="25"/>
      <c r="J8" s="26"/>
      <c r="K8" s="29"/>
      <c r="L8" s="30"/>
      <c r="M8" s="31"/>
      <c r="N8" s="32"/>
      <c r="O8" s="33"/>
      <c r="P8" s="33"/>
      <c r="Q8" s="34"/>
      <c r="R8" s="35"/>
      <c r="S8" s="35"/>
      <c r="T8" s="36"/>
      <c r="U8" s="45"/>
      <c r="V8" s="22"/>
      <c r="W8" s="37"/>
      <c r="X8" s="22"/>
      <c r="Y8" s="22"/>
      <c r="Z8" s="22"/>
      <c r="AA8" s="38"/>
      <c r="AB8" s="35"/>
      <c r="AC8" s="39"/>
      <c r="AD8" s="22"/>
      <c r="AE8" s="40"/>
      <c r="AF8" s="39"/>
      <c r="AG8" s="41"/>
      <c r="AH8" s="42"/>
      <c r="AI8" s="41"/>
      <c r="AJ8" s="36"/>
      <c r="AK8" s="33"/>
      <c r="AL8" s="39"/>
      <c r="AM8" s="39"/>
      <c r="AN8" s="42"/>
      <c r="AO8" s="39"/>
      <c r="AP8" s="36"/>
      <c r="AQ8" s="43"/>
      <c r="AR8" s="44"/>
      <c r="AS8" s="2"/>
    </row>
    <row r="9" spans="1:45" s="7" customFormat="1" ht="41.25" customHeight="1" x14ac:dyDescent="0.35">
      <c r="A9" s="22">
        <v>3</v>
      </c>
      <c r="B9" s="23"/>
      <c r="C9" s="23"/>
      <c r="D9" s="24"/>
      <c r="E9" s="25"/>
      <c r="F9" s="26"/>
      <c r="G9" s="27"/>
      <c r="H9" s="28"/>
      <c r="I9" s="25"/>
      <c r="J9" s="26"/>
      <c r="K9" s="29"/>
      <c r="L9" s="30"/>
      <c r="M9" s="31"/>
      <c r="N9" s="32"/>
      <c r="O9" s="33"/>
      <c r="P9" s="33"/>
      <c r="Q9" s="34"/>
      <c r="R9" s="35"/>
      <c r="S9" s="35"/>
      <c r="T9" s="36"/>
      <c r="U9" s="45"/>
      <c r="V9" s="22"/>
      <c r="W9" s="37"/>
      <c r="X9" s="22"/>
      <c r="Y9" s="22"/>
      <c r="Z9" s="22"/>
      <c r="AA9" s="38"/>
      <c r="AB9" s="35"/>
      <c r="AC9" s="39"/>
      <c r="AD9" s="22"/>
      <c r="AE9" s="40"/>
      <c r="AF9" s="39"/>
      <c r="AG9" s="41"/>
      <c r="AH9" s="42"/>
      <c r="AI9" s="41"/>
      <c r="AJ9" s="36"/>
      <c r="AK9" s="33"/>
      <c r="AL9" s="39"/>
      <c r="AM9" s="39"/>
      <c r="AN9" s="42"/>
      <c r="AO9" s="39"/>
      <c r="AP9" s="36"/>
      <c r="AQ9" s="43"/>
      <c r="AR9" s="44"/>
      <c r="AS9" s="2"/>
    </row>
    <row r="10" spans="1:45" s="7" customFormat="1" ht="45" customHeight="1" x14ac:dyDescent="0.35">
      <c r="A10" s="22">
        <v>4</v>
      </c>
      <c r="B10" s="23"/>
      <c r="C10" s="23"/>
      <c r="D10" s="24"/>
      <c r="E10" s="25"/>
      <c r="F10" s="26"/>
      <c r="G10" s="27"/>
      <c r="H10" s="28"/>
      <c r="I10" s="25"/>
      <c r="J10" s="26"/>
      <c r="K10" s="29"/>
      <c r="L10" s="30"/>
      <c r="M10" s="31"/>
      <c r="N10" s="32"/>
      <c r="O10" s="33"/>
      <c r="P10" s="33"/>
      <c r="Q10" s="34"/>
      <c r="R10" s="35"/>
      <c r="S10" s="35"/>
      <c r="T10" s="36"/>
      <c r="U10" s="45"/>
      <c r="V10" s="22"/>
      <c r="W10" s="37"/>
      <c r="X10" s="22"/>
      <c r="Y10" s="22"/>
      <c r="Z10" s="22"/>
      <c r="AA10" s="38"/>
      <c r="AB10" s="35"/>
      <c r="AC10" s="39"/>
      <c r="AD10" s="22"/>
      <c r="AE10" s="40"/>
      <c r="AF10" s="39"/>
      <c r="AG10" s="41"/>
      <c r="AH10" s="42"/>
      <c r="AI10" s="41"/>
      <c r="AJ10" s="36"/>
      <c r="AK10" s="33"/>
      <c r="AL10" s="39"/>
      <c r="AM10" s="39"/>
      <c r="AN10" s="42"/>
      <c r="AO10" s="39"/>
      <c r="AP10" s="36"/>
      <c r="AQ10" s="43"/>
      <c r="AR10" s="44"/>
      <c r="AS10" s="2"/>
    </row>
    <row r="11" spans="1:45" s="7" customFormat="1" ht="66" customHeight="1" x14ac:dyDescent="0.35">
      <c r="A11" s="22">
        <v>5</v>
      </c>
      <c r="B11" s="23"/>
      <c r="C11" s="23"/>
      <c r="D11" s="24"/>
      <c r="E11" s="25"/>
      <c r="F11" s="26"/>
      <c r="G11" s="27"/>
      <c r="H11" s="28"/>
      <c r="I11" s="25"/>
      <c r="J11" s="26"/>
      <c r="K11" s="29"/>
      <c r="L11" s="30"/>
      <c r="M11" s="31"/>
      <c r="N11" s="32"/>
      <c r="O11" s="33"/>
      <c r="P11" s="33"/>
      <c r="Q11" s="34"/>
      <c r="R11" s="35"/>
      <c r="S11" s="35"/>
      <c r="T11" s="36"/>
      <c r="U11" s="45"/>
      <c r="V11" s="22"/>
      <c r="W11" s="37"/>
      <c r="X11" s="22"/>
      <c r="Y11" s="22"/>
      <c r="Z11" s="22"/>
      <c r="AA11" s="38"/>
      <c r="AB11" s="35"/>
      <c r="AC11" s="39"/>
      <c r="AD11" s="22"/>
      <c r="AE11" s="40"/>
      <c r="AF11" s="39"/>
      <c r="AG11" s="41"/>
      <c r="AH11" s="42"/>
      <c r="AI11" s="41"/>
      <c r="AJ11" s="36"/>
      <c r="AK11" s="33"/>
      <c r="AL11" s="39"/>
      <c r="AM11" s="39"/>
      <c r="AN11" s="42"/>
      <c r="AO11" s="39"/>
      <c r="AP11" s="36"/>
      <c r="AQ11" s="43"/>
      <c r="AR11" s="44"/>
      <c r="AS11" s="2"/>
    </row>
    <row r="12" spans="1:45" s="7" customFormat="1" ht="42" customHeight="1" x14ac:dyDescent="0.45">
      <c r="A12" s="22">
        <v>6</v>
      </c>
      <c r="B12" s="23"/>
      <c r="C12" s="23"/>
      <c r="D12" s="24"/>
      <c r="E12" s="25"/>
      <c r="F12" s="26"/>
      <c r="G12" s="27"/>
      <c r="H12" s="28"/>
      <c r="I12" s="25"/>
      <c r="J12" s="26"/>
      <c r="K12" s="29"/>
      <c r="L12" s="30"/>
      <c r="M12" s="31"/>
      <c r="N12" s="32"/>
      <c r="O12" s="33"/>
      <c r="P12" s="33"/>
      <c r="Q12" s="34"/>
      <c r="R12" s="35"/>
      <c r="S12" s="35"/>
      <c r="T12" s="36"/>
      <c r="U12" s="35"/>
      <c r="V12" s="22"/>
      <c r="W12" s="37"/>
      <c r="X12" s="22"/>
      <c r="Y12" s="22"/>
      <c r="Z12" s="22"/>
      <c r="AA12" s="38"/>
      <c r="AB12" s="35"/>
      <c r="AC12" s="39"/>
      <c r="AD12" s="22"/>
      <c r="AE12" s="40"/>
      <c r="AF12" s="39"/>
      <c r="AG12" s="41"/>
      <c r="AH12" s="42"/>
      <c r="AI12" s="41"/>
      <c r="AJ12" s="36"/>
      <c r="AK12" s="33"/>
      <c r="AL12" s="39"/>
      <c r="AM12" s="39"/>
      <c r="AN12" s="42"/>
      <c r="AO12" s="39"/>
      <c r="AP12" s="36"/>
      <c r="AQ12" s="43"/>
      <c r="AR12" s="44"/>
      <c r="AS12" s="2"/>
    </row>
    <row r="13" spans="1:45" s="7" customFormat="1" ht="42" customHeight="1" x14ac:dyDescent="0.35">
      <c r="A13" s="22">
        <v>7</v>
      </c>
      <c r="B13" s="23"/>
      <c r="C13" s="23"/>
      <c r="D13" s="24"/>
      <c r="E13" s="25"/>
      <c r="F13" s="26"/>
      <c r="G13" s="27"/>
      <c r="H13" s="28"/>
      <c r="I13" s="25"/>
      <c r="J13" s="26"/>
      <c r="K13" s="29"/>
      <c r="L13" s="30"/>
      <c r="M13" s="31"/>
      <c r="N13" s="32"/>
      <c r="O13" s="33"/>
      <c r="P13" s="33"/>
      <c r="Q13" s="34"/>
      <c r="R13" s="35"/>
      <c r="S13" s="35"/>
      <c r="T13" s="36"/>
      <c r="U13" s="45"/>
      <c r="V13" s="22"/>
      <c r="W13" s="37"/>
      <c r="X13" s="22"/>
      <c r="Y13" s="22"/>
      <c r="Z13" s="22"/>
      <c r="AA13" s="38"/>
      <c r="AB13" s="35"/>
      <c r="AC13" s="39"/>
      <c r="AD13" s="22"/>
      <c r="AE13" s="40"/>
      <c r="AF13" s="39"/>
      <c r="AG13" s="41"/>
      <c r="AH13" s="42"/>
      <c r="AI13" s="41"/>
      <c r="AJ13" s="36"/>
      <c r="AK13" s="33"/>
      <c r="AL13" s="39"/>
      <c r="AM13" s="39"/>
      <c r="AN13" s="42"/>
      <c r="AO13" s="39"/>
      <c r="AP13" s="36"/>
      <c r="AQ13" s="43"/>
      <c r="AR13" s="44"/>
      <c r="AS13" s="2"/>
    </row>
    <row r="14" spans="1:45" s="7" customFormat="1" ht="42" customHeight="1" x14ac:dyDescent="0.35">
      <c r="A14" s="22">
        <v>8</v>
      </c>
      <c r="B14" s="23"/>
      <c r="C14" s="23"/>
      <c r="D14" s="24"/>
      <c r="E14" s="25"/>
      <c r="F14" s="26"/>
      <c r="G14" s="27"/>
      <c r="H14" s="28"/>
      <c r="I14" s="25"/>
      <c r="J14" s="26"/>
      <c r="K14" s="29"/>
      <c r="L14" s="30"/>
      <c r="M14" s="31"/>
      <c r="N14" s="32"/>
      <c r="O14" s="33"/>
      <c r="P14" s="33"/>
      <c r="Q14" s="34"/>
      <c r="R14" s="35"/>
      <c r="S14" s="35"/>
      <c r="T14" s="36"/>
      <c r="U14" s="45"/>
      <c r="V14" s="22"/>
      <c r="W14" s="37"/>
      <c r="X14" s="22"/>
      <c r="Y14" s="22"/>
      <c r="Z14" s="22"/>
      <c r="AA14" s="38"/>
      <c r="AB14" s="35"/>
      <c r="AC14" s="39"/>
      <c r="AD14" s="22"/>
      <c r="AE14" s="40"/>
      <c r="AF14" s="39"/>
      <c r="AG14" s="41"/>
      <c r="AH14" s="42"/>
      <c r="AI14" s="41"/>
      <c r="AJ14" s="36"/>
      <c r="AK14" s="33"/>
      <c r="AL14" s="39"/>
      <c r="AM14" s="39"/>
      <c r="AN14" s="42"/>
      <c r="AO14" s="39"/>
      <c r="AP14" s="36"/>
      <c r="AQ14" s="43"/>
      <c r="AR14" s="44"/>
      <c r="AS14" s="2"/>
    </row>
    <row r="15" spans="1:45" s="7" customFormat="1" ht="42" customHeight="1" x14ac:dyDescent="0.35">
      <c r="A15" s="22">
        <v>9</v>
      </c>
      <c r="B15" s="23"/>
      <c r="C15" s="23"/>
      <c r="D15" s="24"/>
      <c r="E15" s="25"/>
      <c r="F15" s="26"/>
      <c r="G15" s="27"/>
      <c r="H15" s="28"/>
      <c r="I15" s="25"/>
      <c r="J15" s="26"/>
      <c r="K15" s="29"/>
      <c r="L15" s="30"/>
      <c r="M15" s="31"/>
      <c r="N15" s="32"/>
      <c r="O15" s="33"/>
      <c r="P15" s="33"/>
      <c r="Q15" s="34"/>
      <c r="R15" s="35"/>
      <c r="S15" s="35"/>
      <c r="T15" s="36"/>
      <c r="U15" s="45"/>
      <c r="V15" s="22"/>
      <c r="W15" s="37"/>
      <c r="X15" s="22"/>
      <c r="Y15" s="22"/>
      <c r="Z15" s="22"/>
      <c r="AA15" s="38"/>
      <c r="AB15" s="35"/>
      <c r="AC15" s="39"/>
      <c r="AD15" s="22"/>
      <c r="AE15" s="40"/>
      <c r="AF15" s="39"/>
      <c r="AG15" s="41"/>
      <c r="AH15" s="42"/>
      <c r="AI15" s="41"/>
      <c r="AJ15" s="36"/>
      <c r="AK15" s="33"/>
      <c r="AL15" s="39"/>
      <c r="AM15" s="39"/>
      <c r="AN15" s="42"/>
      <c r="AO15" s="39"/>
      <c r="AP15" s="36"/>
      <c r="AQ15" s="43"/>
      <c r="AR15" s="44"/>
      <c r="AS15" s="2"/>
    </row>
    <row r="16" spans="1:45" s="7" customFormat="1" ht="55.5" customHeight="1" x14ac:dyDescent="0.35">
      <c r="A16" s="22">
        <v>10</v>
      </c>
      <c r="B16" s="23"/>
      <c r="C16" s="23"/>
      <c r="D16" s="24"/>
      <c r="E16" s="25"/>
      <c r="F16" s="26"/>
      <c r="G16" s="27"/>
      <c r="H16" s="28"/>
      <c r="I16" s="25"/>
      <c r="J16" s="26"/>
      <c r="K16" s="29"/>
      <c r="L16" s="30"/>
      <c r="M16" s="31"/>
      <c r="N16" s="32"/>
      <c r="O16" s="33"/>
      <c r="P16" s="33"/>
      <c r="Q16" s="34"/>
      <c r="R16" s="35"/>
      <c r="S16" s="35"/>
      <c r="T16" s="36"/>
      <c r="U16" s="45"/>
      <c r="V16" s="22"/>
      <c r="W16" s="37"/>
      <c r="X16" s="22"/>
      <c r="Y16" s="22"/>
      <c r="Z16" s="22"/>
      <c r="AA16" s="38"/>
      <c r="AB16" s="35"/>
      <c r="AC16" s="39"/>
      <c r="AD16" s="22"/>
      <c r="AE16" s="40"/>
      <c r="AF16" s="39"/>
      <c r="AG16" s="41"/>
      <c r="AH16" s="42"/>
      <c r="AI16" s="41"/>
      <c r="AJ16" s="36"/>
      <c r="AK16" s="33"/>
      <c r="AL16" s="39"/>
      <c r="AM16" s="39"/>
      <c r="AN16" s="42"/>
      <c r="AO16" s="39"/>
      <c r="AP16" s="36"/>
      <c r="AQ16" s="43"/>
      <c r="AR16" s="44"/>
      <c r="AS16" s="2"/>
    </row>
    <row r="17" spans="1:45" s="7" customFormat="1" ht="42" customHeight="1" x14ac:dyDescent="0.35">
      <c r="A17" s="22">
        <v>11</v>
      </c>
      <c r="B17" s="23"/>
      <c r="C17" s="23"/>
      <c r="D17" s="24"/>
      <c r="E17" s="25"/>
      <c r="F17" s="26"/>
      <c r="G17" s="27"/>
      <c r="H17" s="28"/>
      <c r="I17" s="25"/>
      <c r="J17" s="26"/>
      <c r="K17" s="29"/>
      <c r="L17" s="30"/>
      <c r="M17" s="31"/>
      <c r="N17" s="32"/>
      <c r="O17" s="33"/>
      <c r="P17" s="33"/>
      <c r="Q17" s="34"/>
      <c r="R17" s="35"/>
      <c r="S17" s="35"/>
      <c r="T17" s="36"/>
      <c r="U17" s="45"/>
      <c r="V17" s="22"/>
      <c r="W17" s="37"/>
      <c r="X17" s="22"/>
      <c r="Y17" s="22"/>
      <c r="Z17" s="22"/>
      <c r="AA17" s="38"/>
      <c r="AB17" s="35"/>
      <c r="AC17" s="39"/>
      <c r="AD17" s="22"/>
      <c r="AE17" s="40"/>
      <c r="AF17" s="39"/>
      <c r="AG17" s="41"/>
      <c r="AH17" s="42"/>
      <c r="AI17" s="41"/>
      <c r="AJ17" s="36"/>
      <c r="AK17" s="33"/>
      <c r="AL17" s="39"/>
      <c r="AM17" s="39"/>
      <c r="AN17" s="42"/>
      <c r="AO17" s="39"/>
      <c r="AP17" s="36"/>
      <c r="AQ17" s="43"/>
      <c r="AR17" s="44"/>
      <c r="AS17" s="2"/>
    </row>
    <row r="18" spans="1:45" s="7" customFormat="1" ht="42" customHeight="1" x14ac:dyDescent="0.35">
      <c r="A18" s="22">
        <v>12</v>
      </c>
      <c r="B18" s="23"/>
      <c r="C18" s="23"/>
      <c r="D18" s="24"/>
      <c r="E18" s="25"/>
      <c r="F18" s="26"/>
      <c r="G18" s="27"/>
      <c r="H18" s="28"/>
      <c r="I18" s="25"/>
      <c r="J18" s="26"/>
      <c r="K18" s="29"/>
      <c r="L18" s="30"/>
      <c r="M18" s="31"/>
      <c r="N18" s="32"/>
      <c r="O18" s="33"/>
      <c r="P18" s="33"/>
      <c r="Q18" s="34"/>
      <c r="R18" s="35"/>
      <c r="S18" s="35"/>
      <c r="T18" s="36"/>
      <c r="U18" s="45"/>
      <c r="V18" s="22"/>
      <c r="W18" s="37"/>
      <c r="X18" s="22"/>
      <c r="Y18" s="22"/>
      <c r="Z18" s="22"/>
      <c r="AA18" s="38"/>
      <c r="AB18" s="35"/>
      <c r="AC18" s="39"/>
      <c r="AD18" s="22"/>
      <c r="AE18" s="40"/>
      <c r="AF18" s="39"/>
      <c r="AG18" s="41"/>
      <c r="AH18" s="42"/>
      <c r="AI18" s="41"/>
      <c r="AJ18" s="36"/>
      <c r="AK18" s="33"/>
      <c r="AL18" s="39"/>
      <c r="AM18" s="39"/>
      <c r="AN18" s="42"/>
      <c r="AO18" s="39"/>
      <c r="AP18" s="36"/>
      <c r="AQ18" s="43"/>
      <c r="AR18" s="44"/>
      <c r="AS18" s="2"/>
    </row>
    <row r="19" spans="1:45" s="7" customFormat="1" ht="42" customHeight="1" x14ac:dyDescent="0.35">
      <c r="A19" s="22">
        <v>13</v>
      </c>
      <c r="B19" s="23"/>
      <c r="C19" s="23"/>
      <c r="D19" s="24"/>
      <c r="E19" s="25"/>
      <c r="F19" s="26"/>
      <c r="G19" s="27"/>
      <c r="H19" s="28"/>
      <c r="I19" s="25"/>
      <c r="J19" s="29"/>
      <c r="K19" s="29"/>
      <c r="L19" s="30"/>
      <c r="M19" s="31"/>
      <c r="N19" s="32"/>
      <c r="O19" s="33"/>
      <c r="P19" s="33"/>
      <c r="Q19" s="34"/>
      <c r="R19" s="35"/>
      <c r="S19" s="35"/>
      <c r="T19" s="36"/>
      <c r="U19" s="45"/>
      <c r="V19" s="22"/>
      <c r="W19" s="37"/>
      <c r="X19" s="22"/>
      <c r="Y19" s="22"/>
      <c r="Z19" s="22"/>
      <c r="AA19" s="38"/>
      <c r="AB19" s="35"/>
      <c r="AC19" s="39"/>
      <c r="AD19" s="22"/>
      <c r="AE19" s="40"/>
      <c r="AF19" s="39"/>
      <c r="AG19" s="41"/>
      <c r="AH19" s="42"/>
      <c r="AI19" s="41"/>
      <c r="AJ19" s="36"/>
      <c r="AK19" s="33"/>
      <c r="AL19" s="39"/>
      <c r="AM19" s="39"/>
      <c r="AN19" s="42"/>
      <c r="AO19" s="39"/>
      <c r="AP19" s="36"/>
      <c r="AQ19" s="43"/>
      <c r="AR19" s="44"/>
      <c r="AS19" s="2"/>
    </row>
    <row r="20" spans="1:45" s="7" customFormat="1" ht="42" customHeight="1" x14ac:dyDescent="0.35">
      <c r="A20" s="22">
        <v>14</v>
      </c>
      <c r="B20" s="23"/>
      <c r="C20" s="23"/>
      <c r="D20" s="24"/>
      <c r="E20" s="25"/>
      <c r="F20" s="26"/>
      <c r="G20" s="27"/>
      <c r="H20" s="28"/>
      <c r="I20" s="25"/>
      <c r="J20" s="29"/>
      <c r="K20" s="29"/>
      <c r="L20" s="30"/>
      <c r="M20" s="31"/>
      <c r="N20" s="32"/>
      <c r="O20" s="33"/>
      <c r="P20" s="33"/>
      <c r="Q20" s="34"/>
      <c r="R20" s="35"/>
      <c r="S20" s="35"/>
      <c r="T20" s="36"/>
      <c r="U20" s="45"/>
      <c r="V20" s="22"/>
      <c r="W20" s="37"/>
      <c r="X20" s="22"/>
      <c r="Y20" s="22"/>
      <c r="Z20" s="22"/>
      <c r="AA20" s="38"/>
      <c r="AB20" s="35"/>
      <c r="AC20" s="39"/>
      <c r="AD20" s="22"/>
      <c r="AE20" s="40"/>
      <c r="AF20" s="39"/>
      <c r="AG20" s="41"/>
      <c r="AH20" s="42"/>
      <c r="AI20" s="41"/>
      <c r="AJ20" s="36"/>
      <c r="AK20" s="33"/>
      <c r="AL20" s="39"/>
      <c r="AM20" s="39"/>
      <c r="AN20" s="42"/>
      <c r="AO20" s="39"/>
      <c r="AP20" s="36"/>
      <c r="AQ20" s="43"/>
      <c r="AR20" s="44"/>
      <c r="AS20" s="2"/>
    </row>
    <row r="21" spans="1:45" s="7" customFormat="1" ht="84" customHeight="1" x14ac:dyDescent="0.35">
      <c r="A21" s="22">
        <v>15</v>
      </c>
      <c r="B21" s="23"/>
      <c r="C21" s="23"/>
      <c r="D21" s="24"/>
      <c r="E21" s="25"/>
      <c r="F21" s="26"/>
      <c r="G21" s="27"/>
      <c r="H21" s="28"/>
      <c r="I21" s="25"/>
      <c r="J21" s="29"/>
      <c r="K21" s="29"/>
      <c r="L21" s="30"/>
      <c r="M21" s="31"/>
      <c r="N21" s="32"/>
      <c r="O21" s="33"/>
      <c r="P21" s="33"/>
      <c r="Q21" s="34"/>
      <c r="R21" s="35"/>
      <c r="S21" s="35"/>
      <c r="T21" s="36"/>
      <c r="U21" s="45"/>
      <c r="V21" s="22"/>
      <c r="W21" s="37"/>
      <c r="X21" s="22"/>
      <c r="Y21" s="22"/>
      <c r="Z21" s="22"/>
      <c r="AA21" s="38"/>
      <c r="AB21" s="35"/>
      <c r="AC21" s="39"/>
      <c r="AD21" s="22"/>
      <c r="AE21" s="40"/>
      <c r="AF21" s="39"/>
      <c r="AG21" s="41"/>
      <c r="AH21" s="42"/>
      <c r="AI21" s="41"/>
      <c r="AJ21" s="36"/>
      <c r="AK21" s="33"/>
      <c r="AL21" s="39"/>
      <c r="AM21" s="39"/>
      <c r="AN21" s="42"/>
      <c r="AO21" s="39"/>
      <c r="AP21" s="36"/>
      <c r="AQ21" s="43"/>
      <c r="AR21" s="44"/>
      <c r="AS21" s="2"/>
    </row>
    <row r="22" spans="1:45" s="7" customFormat="1" ht="42" customHeight="1" x14ac:dyDescent="0.35">
      <c r="A22" s="22">
        <v>16</v>
      </c>
      <c r="B22" s="23"/>
      <c r="C22" s="23"/>
      <c r="D22" s="24"/>
      <c r="E22" s="25"/>
      <c r="F22" s="26"/>
      <c r="G22" s="27"/>
      <c r="H22" s="28"/>
      <c r="I22" s="25"/>
      <c r="J22" s="29"/>
      <c r="K22" s="29"/>
      <c r="L22" s="30"/>
      <c r="M22" s="31"/>
      <c r="N22" s="32"/>
      <c r="O22" s="33"/>
      <c r="P22" s="33"/>
      <c r="Q22" s="34"/>
      <c r="R22" s="35"/>
      <c r="S22" s="35"/>
      <c r="T22" s="36"/>
      <c r="U22" s="45"/>
      <c r="V22" s="22"/>
      <c r="W22" s="37"/>
      <c r="X22" s="22"/>
      <c r="Y22" s="22"/>
      <c r="Z22" s="22"/>
      <c r="AA22" s="38"/>
      <c r="AB22" s="35"/>
      <c r="AC22" s="39"/>
      <c r="AD22" s="22"/>
      <c r="AE22" s="40"/>
      <c r="AF22" s="39"/>
      <c r="AG22" s="39"/>
      <c r="AH22" s="75"/>
      <c r="AI22" s="41"/>
      <c r="AJ22" s="36"/>
      <c r="AK22" s="33"/>
      <c r="AL22" s="39"/>
      <c r="AM22" s="39"/>
      <c r="AN22" s="42"/>
      <c r="AO22" s="39"/>
      <c r="AP22" s="36"/>
      <c r="AQ22" s="43"/>
      <c r="AR22" s="44"/>
      <c r="AS22" s="2"/>
    </row>
    <row r="23" spans="1:45" s="7" customFormat="1" ht="42" customHeight="1" x14ac:dyDescent="0.35">
      <c r="A23" s="22">
        <v>17</v>
      </c>
      <c r="B23" s="23"/>
      <c r="C23" s="23"/>
      <c r="D23" s="24"/>
      <c r="E23" s="25"/>
      <c r="F23" s="26"/>
      <c r="G23" s="27"/>
      <c r="H23" s="28"/>
      <c r="I23" s="25"/>
      <c r="J23" s="29"/>
      <c r="K23" s="29"/>
      <c r="L23" s="30"/>
      <c r="M23" s="31"/>
      <c r="N23" s="32"/>
      <c r="O23" s="33"/>
      <c r="P23" s="33"/>
      <c r="Q23" s="34"/>
      <c r="R23" s="35"/>
      <c r="S23" s="35"/>
      <c r="T23" s="36"/>
      <c r="U23" s="45"/>
      <c r="V23" s="22"/>
      <c r="W23" s="37"/>
      <c r="X23" s="22"/>
      <c r="Y23" s="22"/>
      <c r="Z23" s="22"/>
      <c r="AA23" s="38"/>
      <c r="AB23" s="35"/>
      <c r="AC23" s="39"/>
      <c r="AD23" s="22"/>
      <c r="AE23" s="40"/>
      <c r="AF23" s="39"/>
      <c r="AG23" s="39"/>
      <c r="AH23" s="75"/>
      <c r="AI23" s="41"/>
      <c r="AJ23" s="36"/>
      <c r="AK23" s="33"/>
      <c r="AL23" s="39"/>
      <c r="AM23" s="39"/>
      <c r="AN23" s="42"/>
      <c r="AO23" s="39"/>
      <c r="AP23" s="36"/>
      <c r="AQ23" s="43"/>
      <c r="AR23" s="44"/>
      <c r="AS23" s="2"/>
    </row>
    <row r="24" spans="1:45" s="7" customFormat="1" ht="42" customHeight="1" x14ac:dyDescent="0.35">
      <c r="A24" s="22">
        <v>18</v>
      </c>
      <c r="B24" s="23"/>
      <c r="C24" s="23"/>
      <c r="D24" s="24"/>
      <c r="E24" s="25"/>
      <c r="F24" s="26"/>
      <c r="G24" s="27"/>
      <c r="H24" s="28"/>
      <c r="I24" s="25"/>
      <c r="J24" s="29"/>
      <c r="K24" s="29"/>
      <c r="L24" s="30"/>
      <c r="M24" s="31"/>
      <c r="N24" s="32"/>
      <c r="O24" s="33"/>
      <c r="P24" s="33"/>
      <c r="Q24" s="34"/>
      <c r="R24" s="35"/>
      <c r="S24" s="35"/>
      <c r="T24" s="36"/>
      <c r="U24" s="45"/>
      <c r="V24" s="22"/>
      <c r="W24" s="37"/>
      <c r="X24" s="22"/>
      <c r="Y24" s="22"/>
      <c r="Z24" s="22"/>
      <c r="AA24" s="38"/>
      <c r="AB24" s="35"/>
      <c r="AC24" s="39"/>
      <c r="AD24" s="22"/>
      <c r="AE24" s="40"/>
      <c r="AF24" s="39"/>
      <c r="AG24" s="39"/>
      <c r="AH24" s="75"/>
      <c r="AI24" s="41"/>
      <c r="AJ24" s="36"/>
      <c r="AK24" s="33"/>
      <c r="AL24" s="39"/>
      <c r="AM24" s="39"/>
      <c r="AN24" s="42"/>
      <c r="AO24" s="39"/>
      <c r="AP24" s="36"/>
      <c r="AQ24" s="43"/>
      <c r="AR24" s="44"/>
      <c r="AS24" s="2"/>
    </row>
    <row r="25" spans="1:45" s="7" customFormat="1" ht="42" customHeight="1" x14ac:dyDescent="0.35">
      <c r="A25" s="22">
        <v>19</v>
      </c>
      <c r="B25" s="23"/>
      <c r="C25" s="23"/>
      <c r="D25" s="24"/>
      <c r="E25" s="25"/>
      <c r="F25" s="26"/>
      <c r="G25" s="27"/>
      <c r="H25" s="28"/>
      <c r="I25" s="25"/>
      <c r="J25" s="29"/>
      <c r="K25" s="29"/>
      <c r="L25" s="30"/>
      <c r="M25" s="31"/>
      <c r="N25" s="32"/>
      <c r="O25" s="33"/>
      <c r="P25" s="33"/>
      <c r="Q25" s="34"/>
      <c r="R25" s="35"/>
      <c r="S25" s="35"/>
      <c r="T25" s="36"/>
      <c r="U25" s="45"/>
      <c r="V25" s="22"/>
      <c r="W25" s="37"/>
      <c r="X25" s="22"/>
      <c r="Y25" s="22"/>
      <c r="Z25" s="22"/>
      <c r="AA25" s="38"/>
      <c r="AB25" s="35"/>
      <c r="AC25" s="39"/>
      <c r="AD25" s="22"/>
      <c r="AE25" s="40"/>
      <c r="AF25" s="39"/>
      <c r="AG25" s="39"/>
      <c r="AH25" s="42"/>
      <c r="AI25" s="41"/>
      <c r="AJ25" s="36"/>
      <c r="AK25" s="33"/>
      <c r="AL25" s="39"/>
      <c r="AM25" s="39"/>
      <c r="AN25" s="42"/>
      <c r="AO25" s="39"/>
      <c r="AP25" s="36"/>
      <c r="AQ25" s="43"/>
      <c r="AR25" s="44"/>
      <c r="AS25" s="2"/>
    </row>
    <row r="26" spans="1:45" s="7" customFormat="1" ht="54.75" customHeight="1" x14ac:dyDescent="0.35">
      <c r="A26" s="22">
        <v>20</v>
      </c>
      <c r="B26" s="23"/>
      <c r="C26" s="23"/>
      <c r="D26" s="24"/>
      <c r="E26" s="25"/>
      <c r="F26" s="26"/>
      <c r="G26" s="27"/>
      <c r="H26" s="28"/>
      <c r="I26" s="25"/>
      <c r="J26" s="29"/>
      <c r="K26" s="29"/>
      <c r="L26" s="30"/>
      <c r="M26" s="31"/>
      <c r="N26" s="32"/>
      <c r="O26" s="33"/>
      <c r="P26" s="33"/>
      <c r="Q26" s="34"/>
      <c r="R26" s="35"/>
      <c r="S26" s="35"/>
      <c r="T26" s="36"/>
      <c r="U26" s="45"/>
      <c r="V26" s="22"/>
      <c r="W26" s="37"/>
      <c r="X26" s="22"/>
      <c r="Y26" s="22"/>
      <c r="Z26" s="22"/>
      <c r="AA26" s="38"/>
      <c r="AB26" s="35"/>
      <c r="AC26" s="39"/>
      <c r="AD26" s="22"/>
      <c r="AE26" s="40"/>
      <c r="AF26" s="39"/>
      <c r="AG26" s="39"/>
      <c r="AH26" s="42"/>
      <c r="AI26" s="41"/>
      <c r="AJ26" s="36"/>
      <c r="AK26" s="33"/>
      <c r="AL26" s="39"/>
      <c r="AM26" s="39"/>
      <c r="AN26" s="42"/>
      <c r="AO26" s="39"/>
      <c r="AP26" s="36"/>
      <c r="AQ26" s="43"/>
      <c r="AR26" s="44"/>
      <c r="AS26" s="2"/>
    </row>
    <row r="27" spans="1:45" s="7" customFormat="1" ht="42" customHeight="1" x14ac:dyDescent="0.45">
      <c r="A27" s="22">
        <v>21</v>
      </c>
      <c r="B27" s="23"/>
      <c r="C27" s="23"/>
      <c r="D27" s="24"/>
      <c r="E27" s="25"/>
      <c r="F27" s="26"/>
      <c r="G27" s="27"/>
      <c r="H27" s="28"/>
      <c r="I27" s="25"/>
      <c r="J27" s="29"/>
      <c r="K27" s="29"/>
      <c r="L27" s="30"/>
      <c r="M27" s="31"/>
      <c r="N27" s="32"/>
      <c r="O27" s="33"/>
      <c r="P27" s="33"/>
      <c r="Q27" s="34"/>
      <c r="R27" s="35"/>
      <c r="S27" s="35"/>
      <c r="T27" s="36"/>
      <c r="U27" s="36"/>
      <c r="V27" s="22"/>
      <c r="W27" s="37"/>
      <c r="X27" s="22"/>
      <c r="Y27" s="22"/>
      <c r="Z27" s="22"/>
      <c r="AA27" s="38"/>
      <c r="AB27" s="35"/>
      <c r="AC27" s="39"/>
      <c r="AD27" s="22"/>
      <c r="AE27" s="40"/>
      <c r="AF27" s="39"/>
      <c r="AG27" s="39"/>
      <c r="AH27" s="42"/>
      <c r="AI27" s="41"/>
      <c r="AJ27" s="36"/>
      <c r="AK27" s="33"/>
      <c r="AL27" s="39"/>
      <c r="AM27" s="39"/>
      <c r="AN27" s="42"/>
      <c r="AO27" s="39"/>
      <c r="AP27" s="36"/>
      <c r="AQ27" s="43"/>
      <c r="AR27" s="44"/>
      <c r="AS27" s="2"/>
    </row>
    <row r="28" spans="1:45" s="7" customFormat="1" ht="28.5" x14ac:dyDescent="0.45">
      <c r="A28" s="22"/>
      <c r="B28" s="23"/>
      <c r="C28" s="23"/>
      <c r="D28" s="24"/>
      <c r="E28" s="25"/>
      <c r="F28" s="26"/>
      <c r="G28" s="27"/>
      <c r="H28" s="28"/>
      <c r="I28" s="25"/>
      <c r="J28" s="29"/>
      <c r="K28" s="29"/>
      <c r="L28" s="30"/>
      <c r="M28" s="31"/>
      <c r="N28" s="32"/>
      <c r="O28" s="33"/>
      <c r="P28" s="33"/>
      <c r="Q28" s="34"/>
      <c r="R28" s="35"/>
      <c r="S28" s="35"/>
      <c r="T28" s="36"/>
      <c r="U28" s="36"/>
      <c r="V28" s="22"/>
      <c r="W28" s="37"/>
      <c r="X28" s="22"/>
      <c r="Y28" s="22"/>
      <c r="Z28" s="22"/>
      <c r="AA28" s="38"/>
      <c r="AB28" s="35"/>
      <c r="AC28" s="39"/>
      <c r="AD28" s="22"/>
      <c r="AE28" s="40"/>
      <c r="AF28" s="39"/>
      <c r="AG28" s="39"/>
      <c r="AH28" s="46"/>
      <c r="AI28" s="41"/>
      <c r="AJ28" s="36"/>
      <c r="AK28" s="33"/>
      <c r="AL28" s="39"/>
      <c r="AM28" s="39"/>
      <c r="AN28" s="42"/>
      <c r="AO28" s="39"/>
      <c r="AP28" s="47"/>
      <c r="AQ28" s="43"/>
      <c r="AR28" s="44"/>
      <c r="AS28" s="2" t="s">
        <v>51</v>
      </c>
    </row>
    <row r="29" spans="1:45" s="7" customFormat="1" ht="21.75" customHeight="1" x14ac:dyDescent="0.35">
      <c r="A29" s="48"/>
      <c r="B29" s="49"/>
      <c r="C29" s="49"/>
      <c r="D29" s="50"/>
      <c r="E29" s="51"/>
      <c r="F29" s="52"/>
      <c r="G29" s="53"/>
      <c r="H29" s="54"/>
      <c r="I29" s="51"/>
      <c r="J29" s="52"/>
      <c r="K29" s="55"/>
      <c r="L29" s="55"/>
      <c r="M29" s="56"/>
      <c r="N29" s="57"/>
      <c r="O29" s="58"/>
      <c r="P29" s="58"/>
      <c r="Q29" s="59"/>
      <c r="R29" s="60"/>
      <c r="S29" s="60"/>
      <c r="T29" s="61"/>
      <c r="U29" s="61"/>
      <c r="V29" s="48"/>
      <c r="W29" s="62"/>
      <c r="X29" s="48"/>
      <c r="Y29" s="48"/>
      <c r="Z29" s="48"/>
      <c r="AA29" s="48"/>
      <c r="AB29" s="63"/>
      <c r="AC29" s="64"/>
      <c r="AD29" s="48"/>
      <c r="AE29" s="65"/>
      <c r="AF29" s="55"/>
      <c r="AG29" s="55"/>
      <c r="AH29" s="64"/>
      <c r="AI29" s="55"/>
      <c r="AJ29" s="66"/>
      <c r="AK29" s="64"/>
      <c r="AL29" s="55"/>
      <c r="AM29" s="55"/>
      <c r="AN29" s="64"/>
      <c r="AO29" s="55"/>
      <c r="AP29" s="55"/>
      <c r="AQ29" s="67"/>
      <c r="AR29" s="68">
        <f>SUM(AR7:AR28)</f>
        <v>0</v>
      </c>
      <c r="AS29" s="2"/>
    </row>
    <row r="35" spans="5:43" s="72" customFormat="1" ht="13.5" customHeight="1" x14ac:dyDescent="0.45">
      <c r="E35" s="69"/>
      <c r="F35" s="70"/>
      <c r="G35" s="71"/>
      <c r="I35" s="73"/>
      <c r="S35" s="74"/>
      <c r="AO35" s="122" t="s">
        <v>52</v>
      </c>
      <c r="AP35" s="122"/>
      <c r="AQ35" s="122"/>
    </row>
    <row r="36" spans="5:43" s="72" customFormat="1" ht="15" customHeight="1" x14ac:dyDescent="0.45">
      <c r="E36" s="69"/>
      <c r="F36" s="70"/>
      <c r="G36" s="71"/>
      <c r="I36" s="73"/>
      <c r="S36" s="74"/>
      <c r="AO36" s="122" t="s">
        <v>53</v>
      </c>
      <c r="AP36" s="122"/>
      <c r="AQ36" s="122"/>
    </row>
    <row r="37" spans="5:43" s="72" customFormat="1" ht="10.5" x14ac:dyDescent="0.45">
      <c r="E37" s="69"/>
      <c r="F37" s="70"/>
      <c r="G37" s="71"/>
      <c r="I37" s="73"/>
      <c r="S37" s="74"/>
    </row>
    <row r="38" spans="5:43" s="72" customFormat="1" ht="10.5" x14ac:dyDescent="0.45">
      <c r="E38" s="69"/>
      <c r="F38" s="70"/>
      <c r="G38" s="71"/>
      <c r="I38" s="73"/>
      <c r="S38" s="74"/>
    </row>
    <row r="39" spans="5:43" s="72" customFormat="1" ht="10.5" x14ac:dyDescent="0.45">
      <c r="E39" s="69"/>
      <c r="F39" s="70"/>
      <c r="G39" s="71"/>
      <c r="I39" s="73"/>
      <c r="S39" s="74"/>
    </row>
    <row r="40" spans="5:43" s="72" customFormat="1" ht="10.5" x14ac:dyDescent="0.45">
      <c r="E40" s="69"/>
      <c r="F40" s="70"/>
      <c r="G40" s="71"/>
      <c r="I40" s="73"/>
      <c r="S40" s="74"/>
    </row>
    <row r="41" spans="5:43" s="72" customFormat="1" ht="10.5" x14ac:dyDescent="0.45">
      <c r="E41" s="69"/>
      <c r="F41" s="70"/>
      <c r="G41" s="71"/>
      <c r="I41" s="73"/>
      <c r="S41" s="74"/>
    </row>
    <row r="42" spans="5:43" s="72" customFormat="1" ht="10.5" x14ac:dyDescent="0.45">
      <c r="E42" s="69"/>
      <c r="F42" s="70"/>
      <c r="G42" s="71"/>
      <c r="I42" s="73"/>
      <c r="S42" s="74"/>
    </row>
    <row r="43" spans="5:43" s="72" customFormat="1" ht="10.5" x14ac:dyDescent="0.45">
      <c r="E43" s="69"/>
      <c r="F43" s="70"/>
      <c r="G43" s="71"/>
      <c r="I43" s="73"/>
      <c r="S43" s="74"/>
      <c r="AO43" s="121" t="s">
        <v>54</v>
      </c>
      <c r="AP43" s="121"/>
      <c r="AQ43" s="121"/>
    </row>
    <row r="44" spans="5:43" s="72" customFormat="1" ht="15" customHeight="1" x14ac:dyDescent="0.45">
      <c r="E44" s="69"/>
      <c r="F44" s="70"/>
      <c r="G44" s="71"/>
      <c r="I44" s="73"/>
      <c r="S44" s="74"/>
      <c r="AO44" s="122" t="s">
        <v>55</v>
      </c>
      <c r="AP44" s="122"/>
      <c r="AQ44" s="122"/>
    </row>
    <row r="45" spans="5:43" s="72" customFormat="1" ht="10.5" x14ac:dyDescent="0.45">
      <c r="E45" s="69"/>
      <c r="F45" s="70"/>
      <c r="G45" s="71"/>
      <c r="I45" s="73"/>
      <c r="S45" s="74"/>
    </row>
    <row r="46" spans="5:43" s="72" customFormat="1" ht="10.5" x14ac:dyDescent="0.45">
      <c r="E46" s="69"/>
      <c r="F46" s="70"/>
      <c r="G46" s="71"/>
      <c r="I46" s="73"/>
      <c r="S46" s="74"/>
    </row>
  </sheetData>
  <autoFilter ref="A6:AR29" xr:uid="{00000000-0009-0000-0000-000000000000}">
    <sortState xmlns:xlrd2="http://schemas.microsoft.com/office/spreadsheetml/2017/richdata2" ref="A7:AR69">
      <sortCondition ref="A6:A69"/>
    </sortState>
  </autoFilter>
  <mergeCells count="42">
    <mergeCell ref="AA4:AA5"/>
    <mergeCell ref="AO43:AQ43"/>
    <mergeCell ref="AO44:AQ44"/>
    <mergeCell ref="AC4:AC5"/>
    <mergeCell ref="AD4:AD5"/>
    <mergeCell ref="AE4:AJ4"/>
    <mergeCell ref="AK4:AP4"/>
    <mergeCell ref="AO35:AQ35"/>
    <mergeCell ref="AO36:AQ36"/>
    <mergeCell ref="V4:V5"/>
    <mergeCell ref="W4:W5"/>
    <mergeCell ref="X4:X5"/>
    <mergeCell ref="Y4:Y5"/>
    <mergeCell ref="Z4:Z5"/>
    <mergeCell ref="M2:N4"/>
    <mergeCell ref="O2:P3"/>
    <mergeCell ref="Q2:AQ2"/>
    <mergeCell ref="AR2:AR5"/>
    <mergeCell ref="Q3:S3"/>
    <mergeCell ref="T3:W3"/>
    <mergeCell ref="X3:AB3"/>
    <mergeCell ref="AC3:AP3"/>
    <mergeCell ref="AQ3:AQ5"/>
    <mergeCell ref="O4:P4"/>
    <mergeCell ref="AB4:AB5"/>
    <mergeCell ref="Q4:Q5"/>
    <mergeCell ref="R4:R5"/>
    <mergeCell ref="S4:S5"/>
    <mergeCell ref="T4:T5"/>
    <mergeCell ref="U4:U5"/>
    <mergeCell ref="L2:L5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</mergeCells>
  <dataValidations count="2">
    <dataValidation type="textLength" errorStyle="warning" showInputMessage="1" showErrorMessage="1" prompt="Nama OPD diisi tiap baris" sqref="B1:B2 B6:B29" xr:uid="{00000000-0002-0000-0000-000000000000}">
      <formula1>1</formula1>
      <formula2>100</formula2>
    </dataValidation>
    <dataValidation type="list" errorStyle="warning" showInputMessage="1" showErrorMessage="1" error="Jenis Perjalanan Dinas Harus diisi sesuai pilihan yang ada" sqref="C1:C2 C6:C29" xr:uid="{00000000-0002-0000-0000-000001000000}">
      <formula1>"Dalam Daerah, Luar Daerah Dalam Provinsi, Luar Daerah Luar Provinsi"</formula1>
    </dataValidation>
  </dataValidations>
  <pageMargins left="0.7" right="0.7" top="0.75" bottom="0.75" header="0.3" footer="0.3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2"/>
  <sheetViews>
    <sheetView view="pageBreakPreview" zoomScale="55" zoomScaleNormal="100" zoomScaleSheetLayoutView="5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J2" sqref="J2:Z2"/>
    </sheetView>
  </sheetViews>
  <sheetFormatPr defaultRowHeight="14.25" x14ac:dyDescent="0.45"/>
  <cols>
    <col min="1" max="1" width="5.73046875" customWidth="1"/>
    <col min="2" max="2" width="20" customWidth="1"/>
    <col min="6" max="6" width="25.73046875" bestFit="1" customWidth="1"/>
    <col min="7" max="7" width="11" bestFit="1" customWidth="1"/>
    <col min="9" max="9" width="12.265625" customWidth="1"/>
    <col min="10" max="10" width="28.73046875" customWidth="1"/>
    <col min="14" max="14" width="13.33203125" bestFit="1" customWidth="1"/>
    <col min="15" max="15" width="14.265625" bestFit="1" customWidth="1"/>
    <col min="19" max="19" width="15.73046875" bestFit="1" customWidth="1"/>
    <col min="20" max="20" width="11.73046875" bestFit="1" customWidth="1"/>
    <col min="21" max="21" width="10.1328125" customWidth="1"/>
    <col min="22" max="22" width="16.1328125" bestFit="1" customWidth="1"/>
    <col min="23" max="29" width="16.1328125" customWidth="1"/>
    <col min="30" max="30" width="9.3984375" customWidth="1"/>
    <col min="32" max="32" width="17.86328125" bestFit="1" customWidth="1"/>
    <col min="33" max="33" width="16.265625" style="76" customWidth="1"/>
    <col min="34" max="34" width="14.3984375" style="76" customWidth="1"/>
    <col min="35" max="35" width="11.265625" customWidth="1"/>
    <col min="42" max="42" width="11.59765625" customWidth="1"/>
    <col min="43" max="43" width="10.1328125" bestFit="1" customWidth="1"/>
    <col min="48" max="48" width="10.59765625" bestFit="1" customWidth="1"/>
    <col min="49" max="49" width="13.265625" bestFit="1" customWidth="1"/>
  </cols>
  <sheetData>
    <row r="1" spans="1:49" x14ac:dyDescent="0.35">
      <c r="J1" s="161" t="s">
        <v>111</v>
      </c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W1" s="81" t="s">
        <v>107</v>
      </c>
    </row>
    <row r="2" spans="1:49" x14ac:dyDescent="0.35">
      <c r="J2" s="161" t="s">
        <v>109</v>
      </c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W2" s="81"/>
    </row>
    <row r="3" spans="1:49" x14ac:dyDescent="0.35">
      <c r="J3" s="161" t="s">
        <v>108</v>
      </c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</row>
    <row r="4" spans="1:49" x14ac:dyDescent="0.35"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49" ht="14.45" customHeight="1" x14ac:dyDescent="0.45">
      <c r="A5" s="138" t="s">
        <v>57</v>
      </c>
      <c r="B5" s="138" t="s">
        <v>105</v>
      </c>
      <c r="C5" s="138" t="s">
        <v>58</v>
      </c>
      <c r="D5" s="138" t="s">
        <v>59</v>
      </c>
      <c r="E5" s="138" t="s">
        <v>60</v>
      </c>
      <c r="F5" s="138" t="s">
        <v>61</v>
      </c>
      <c r="G5" s="138" t="s">
        <v>7</v>
      </c>
      <c r="H5" s="138" t="s">
        <v>62</v>
      </c>
      <c r="I5" s="138" t="s">
        <v>63</v>
      </c>
      <c r="J5" s="138" t="s">
        <v>64</v>
      </c>
      <c r="K5" s="138" t="s">
        <v>65</v>
      </c>
      <c r="L5" s="138" t="s">
        <v>66</v>
      </c>
      <c r="M5" s="138" t="s">
        <v>67</v>
      </c>
      <c r="N5" s="142" t="s">
        <v>14</v>
      </c>
      <c r="O5" s="143"/>
      <c r="P5" s="146" t="s">
        <v>17</v>
      </c>
      <c r="Q5" s="147"/>
      <c r="R5" s="148"/>
      <c r="S5" s="162" t="s">
        <v>68</v>
      </c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  <c r="AT5" s="163"/>
      <c r="AU5" s="163"/>
      <c r="AV5" s="164"/>
      <c r="AW5" s="139" t="s">
        <v>88</v>
      </c>
    </row>
    <row r="6" spans="1:49" ht="14.45" customHeight="1" x14ac:dyDescent="0.45">
      <c r="A6" s="138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44"/>
      <c r="O6" s="145"/>
      <c r="P6" s="149"/>
      <c r="Q6" s="150"/>
      <c r="R6" s="151"/>
      <c r="S6" s="154" t="s">
        <v>69</v>
      </c>
      <c r="T6" s="155"/>
      <c r="U6" s="155"/>
      <c r="V6" s="156"/>
      <c r="W6" s="157" t="s">
        <v>70</v>
      </c>
      <c r="X6" s="158"/>
      <c r="Y6" s="158"/>
      <c r="Z6" s="158"/>
      <c r="AA6" s="158"/>
      <c r="AB6" s="158"/>
      <c r="AC6" s="159"/>
      <c r="AD6" s="132" t="s">
        <v>20</v>
      </c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4"/>
      <c r="AV6" s="123" t="s">
        <v>21</v>
      </c>
      <c r="AW6" s="140"/>
    </row>
    <row r="7" spans="1:49" ht="14.45" customHeight="1" x14ac:dyDescent="0.35">
      <c r="A7" s="138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 t="s">
        <v>40</v>
      </c>
      <c r="O7" s="138"/>
      <c r="P7" s="165" t="s">
        <v>23</v>
      </c>
      <c r="Q7" s="160" t="s">
        <v>71</v>
      </c>
      <c r="R7" s="160" t="s">
        <v>25</v>
      </c>
      <c r="S7" s="126" t="s">
        <v>72</v>
      </c>
      <c r="T7" s="126" t="s">
        <v>27</v>
      </c>
      <c r="U7" s="126" t="s">
        <v>28</v>
      </c>
      <c r="V7" s="126" t="s">
        <v>73</v>
      </c>
      <c r="W7" s="130" t="s">
        <v>29</v>
      </c>
      <c r="X7" s="130" t="s">
        <v>74</v>
      </c>
      <c r="Y7" s="130" t="s">
        <v>75</v>
      </c>
      <c r="Z7" s="130" t="s">
        <v>31</v>
      </c>
      <c r="AA7" s="130" t="s">
        <v>76</v>
      </c>
      <c r="AB7" s="130" t="s">
        <v>32</v>
      </c>
      <c r="AC7" s="152" t="s">
        <v>33</v>
      </c>
      <c r="AD7" s="128" t="s">
        <v>34</v>
      </c>
      <c r="AE7" s="128" t="s">
        <v>12</v>
      </c>
      <c r="AF7" s="135" t="s">
        <v>35</v>
      </c>
      <c r="AG7" s="136"/>
      <c r="AH7" s="136"/>
      <c r="AI7" s="136"/>
      <c r="AJ7" s="136"/>
      <c r="AK7" s="136"/>
      <c r="AL7" s="136"/>
      <c r="AM7" s="137"/>
      <c r="AN7" s="135" t="s">
        <v>77</v>
      </c>
      <c r="AO7" s="136"/>
      <c r="AP7" s="136"/>
      <c r="AQ7" s="136"/>
      <c r="AR7" s="136"/>
      <c r="AS7" s="136"/>
      <c r="AT7" s="136"/>
      <c r="AU7" s="137"/>
      <c r="AV7" s="124"/>
      <c r="AW7" s="140"/>
    </row>
    <row r="8" spans="1:49" ht="24.95" customHeight="1" x14ac:dyDescent="0.45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79" t="s">
        <v>35</v>
      </c>
      <c r="O8" s="79" t="s">
        <v>78</v>
      </c>
      <c r="P8" s="165"/>
      <c r="Q8" s="160"/>
      <c r="R8" s="160"/>
      <c r="S8" s="127"/>
      <c r="T8" s="127"/>
      <c r="U8" s="127"/>
      <c r="V8" s="127"/>
      <c r="W8" s="131"/>
      <c r="X8" s="131"/>
      <c r="Y8" s="131"/>
      <c r="Z8" s="131"/>
      <c r="AA8" s="131"/>
      <c r="AB8" s="131"/>
      <c r="AC8" s="153"/>
      <c r="AD8" s="129"/>
      <c r="AE8" s="129"/>
      <c r="AF8" s="83" t="s">
        <v>79</v>
      </c>
      <c r="AG8" s="83" t="s">
        <v>80</v>
      </c>
      <c r="AH8" s="83" t="s">
        <v>81</v>
      </c>
      <c r="AI8" s="84" t="s">
        <v>43</v>
      </c>
      <c r="AJ8" s="83" t="s">
        <v>44</v>
      </c>
      <c r="AK8" s="84" t="s">
        <v>82</v>
      </c>
      <c r="AL8" s="84" t="s">
        <v>12</v>
      </c>
      <c r="AM8" s="84" t="s">
        <v>45</v>
      </c>
      <c r="AN8" s="83" t="s">
        <v>79</v>
      </c>
      <c r="AO8" s="83" t="s">
        <v>80</v>
      </c>
      <c r="AP8" s="83" t="s">
        <v>81</v>
      </c>
      <c r="AQ8" s="84" t="s">
        <v>43</v>
      </c>
      <c r="AR8" s="83" t="s">
        <v>44</v>
      </c>
      <c r="AS8" s="84" t="s">
        <v>82</v>
      </c>
      <c r="AT8" s="84" t="s">
        <v>12</v>
      </c>
      <c r="AU8" s="84" t="s">
        <v>45</v>
      </c>
      <c r="AV8" s="125"/>
      <c r="AW8" s="141"/>
    </row>
    <row r="9" spans="1:49" x14ac:dyDescent="0.35">
      <c r="A9" s="82">
        <v>1</v>
      </c>
      <c r="B9" s="82">
        <v>2</v>
      </c>
      <c r="C9" s="82">
        <v>3</v>
      </c>
      <c r="D9" s="82">
        <v>4</v>
      </c>
      <c r="E9" s="82">
        <v>5</v>
      </c>
      <c r="F9" s="82">
        <v>6</v>
      </c>
      <c r="G9" s="82">
        <v>7</v>
      </c>
      <c r="H9" s="82">
        <v>8</v>
      </c>
      <c r="I9" s="82">
        <v>9</v>
      </c>
      <c r="J9" s="82">
        <v>10</v>
      </c>
      <c r="K9" s="82">
        <v>11</v>
      </c>
      <c r="L9" s="82">
        <v>12</v>
      </c>
      <c r="M9" s="82">
        <v>13</v>
      </c>
      <c r="N9" s="82">
        <v>14</v>
      </c>
      <c r="O9" s="82">
        <v>15</v>
      </c>
      <c r="P9" s="82">
        <v>16</v>
      </c>
      <c r="Q9" s="82">
        <v>17</v>
      </c>
      <c r="R9" s="82" t="s">
        <v>83</v>
      </c>
      <c r="S9" s="82">
        <v>19</v>
      </c>
      <c r="T9" s="82">
        <v>20</v>
      </c>
      <c r="U9" s="82">
        <v>21</v>
      </c>
      <c r="V9" s="82" t="s">
        <v>84</v>
      </c>
      <c r="W9" s="82">
        <v>23</v>
      </c>
      <c r="X9" s="82">
        <v>24</v>
      </c>
      <c r="Y9" s="82">
        <v>25</v>
      </c>
      <c r="Z9" s="82">
        <v>26</v>
      </c>
      <c r="AA9" s="82">
        <v>27</v>
      </c>
      <c r="AB9" s="82">
        <v>28</v>
      </c>
      <c r="AC9" s="82" t="s">
        <v>85</v>
      </c>
      <c r="AD9" s="82">
        <v>30</v>
      </c>
      <c r="AE9" s="82">
        <v>31</v>
      </c>
      <c r="AF9" s="82">
        <v>32</v>
      </c>
      <c r="AG9" s="82">
        <v>33</v>
      </c>
      <c r="AH9" s="82">
        <v>34</v>
      </c>
      <c r="AI9" s="82">
        <v>35</v>
      </c>
      <c r="AJ9" s="82">
        <v>36</v>
      </c>
      <c r="AK9" s="82">
        <v>37</v>
      </c>
      <c r="AL9" s="82">
        <v>38</v>
      </c>
      <c r="AM9" s="82">
        <v>39</v>
      </c>
      <c r="AN9" s="82">
        <v>40</v>
      </c>
      <c r="AO9" s="82">
        <v>41</v>
      </c>
      <c r="AP9" s="82">
        <v>42</v>
      </c>
      <c r="AQ9" s="82">
        <v>43</v>
      </c>
      <c r="AR9" s="82">
        <v>44</v>
      </c>
      <c r="AS9" s="82">
        <v>45</v>
      </c>
      <c r="AT9" s="82">
        <v>46</v>
      </c>
      <c r="AU9" s="82">
        <v>47</v>
      </c>
      <c r="AV9" s="82" t="s">
        <v>86</v>
      </c>
      <c r="AW9" s="82" t="s">
        <v>87</v>
      </c>
    </row>
    <row r="10" spans="1:49" x14ac:dyDescent="0.45">
      <c r="A10" s="78">
        <v>1</v>
      </c>
      <c r="B10" s="77"/>
      <c r="C10" s="77"/>
      <c r="D10" s="172"/>
      <c r="E10" s="89"/>
      <c r="F10" s="77"/>
      <c r="G10" s="89"/>
      <c r="H10" s="77"/>
      <c r="I10" s="172"/>
      <c r="J10" s="90"/>
      <c r="K10" s="171"/>
      <c r="L10" s="90"/>
      <c r="M10" s="90"/>
      <c r="N10" s="172"/>
      <c r="O10" s="172"/>
      <c r="P10" s="77"/>
      <c r="Q10" s="171"/>
      <c r="R10" s="171">
        <f>P10*Q10</f>
        <v>0</v>
      </c>
      <c r="S10" s="171"/>
      <c r="T10" s="171"/>
      <c r="U10" s="171"/>
      <c r="V10" s="171">
        <f>S10+T10+U10</f>
        <v>0</v>
      </c>
      <c r="W10" s="77"/>
      <c r="X10" s="172"/>
      <c r="Y10" s="172"/>
      <c r="Z10" s="77">
        <v>1</v>
      </c>
      <c r="AA10" s="77"/>
      <c r="AB10" s="171"/>
      <c r="AC10" s="171">
        <f>Z10*AB10</f>
        <v>0</v>
      </c>
      <c r="AD10" s="77"/>
      <c r="AE10" s="77"/>
      <c r="AF10" s="172"/>
      <c r="AG10" s="80"/>
      <c r="AH10" s="80"/>
      <c r="AI10" s="77"/>
      <c r="AJ10" s="77"/>
      <c r="AK10" s="77"/>
      <c r="AL10" s="77"/>
      <c r="AM10" s="172"/>
      <c r="AN10" s="172"/>
      <c r="AO10" s="77"/>
      <c r="AP10" s="77"/>
      <c r="AQ10" s="77"/>
      <c r="AR10" s="77"/>
      <c r="AS10" s="77"/>
      <c r="AT10" s="77"/>
      <c r="AU10" s="171"/>
      <c r="AV10" s="171">
        <f>AM10+AU10</f>
        <v>0</v>
      </c>
      <c r="AW10" s="171">
        <f>R10+V10+AC10+AV10</f>
        <v>0</v>
      </c>
    </row>
    <row r="11" spans="1:49" x14ac:dyDescent="0.45">
      <c r="A11" s="78">
        <v>2</v>
      </c>
      <c r="B11" s="77"/>
      <c r="C11" s="77"/>
      <c r="D11" s="172"/>
      <c r="E11" s="77"/>
      <c r="F11" s="77"/>
      <c r="G11" s="77"/>
      <c r="H11" s="77"/>
      <c r="I11" s="172"/>
      <c r="J11" s="77"/>
      <c r="K11" s="171"/>
      <c r="L11" s="77"/>
      <c r="M11" s="77"/>
      <c r="N11" s="172"/>
      <c r="O11" s="172"/>
      <c r="P11" s="77"/>
      <c r="Q11" s="171"/>
      <c r="R11" s="171">
        <f t="shared" ref="R11:R42" si="0">P11*Q11</f>
        <v>0</v>
      </c>
      <c r="S11" s="171"/>
      <c r="T11" s="171"/>
      <c r="U11" s="171"/>
      <c r="V11" s="171">
        <f t="shared" ref="V11:V42" si="1">S11+T11+U11</f>
        <v>0</v>
      </c>
      <c r="W11" s="77"/>
      <c r="X11" s="172"/>
      <c r="Y11" s="172"/>
      <c r="Z11" s="77"/>
      <c r="AA11" s="77"/>
      <c r="AB11" s="171"/>
      <c r="AC11" s="171">
        <f t="shared" ref="AC11:AC42" si="2">Z11*AB11</f>
        <v>0</v>
      </c>
      <c r="AD11" s="77"/>
      <c r="AE11" s="77"/>
      <c r="AF11" s="172"/>
      <c r="AG11" s="80"/>
      <c r="AH11" s="80"/>
      <c r="AI11" s="77"/>
      <c r="AJ11" s="77"/>
      <c r="AK11" s="77"/>
      <c r="AL11" s="77"/>
      <c r="AM11" s="172"/>
      <c r="AN11" s="172"/>
      <c r="AO11" s="77"/>
      <c r="AP11" s="77"/>
      <c r="AQ11" s="77"/>
      <c r="AR11" s="77"/>
      <c r="AS11" s="77"/>
      <c r="AT11" s="77"/>
      <c r="AU11" s="171"/>
      <c r="AV11" s="171">
        <f t="shared" ref="AV11:AV42" si="3">AM11+AU11</f>
        <v>0</v>
      </c>
      <c r="AW11" s="171">
        <f t="shared" ref="AW11:AW42" si="4">R11+V11+AC11+AV11</f>
        <v>0</v>
      </c>
    </row>
    <row r="12" spans="1:49" x14ac:dyDescent="0.45">
      <c r="A12" s="78">
        <v>3</v>
      </c>
      <c r="B12" s="77"/>
      <c r="C12" s="77"/>
      <c r="D12" s="172"/>
      <c r="E12" s="77"/>
      <c r="F12" s="77"/>
      <c r="G12" s="77"/>
      <c r="H12" s="77"/>
      <c r="I12" s="172"/>
      <c r="J12" s="77"/>
      <c r="K12" s="171"/>
      <c r="L12" s="77"/>
      <c r="M12" s="77"/>
      <c r="N12" s="172"/>
      <c r="O12" s="172"/>
      <c r="P12" s="77"/>
      <c r="Q12" s="171"/>
      <c r="R12" s="171">
        <f t="shared" si="0"/>
        <v>0</v>
      </c>
      <c r="S12" s="171"/>
      <c r="T12" s="171"/>
      <c r="U12" s="171"/>
      <c r="V12" s="171">
        <f t="shared" si="1"/>
        <v>0</v>
      </c>
      <c r="W12" s="77"/>
      <c r="X12" s="172"/>
      <c r="Y12" s="172"/>
      <c r="Z12" s="77"/>
      <c r="AA12" s="77"/>
      <c r="AB12" s="171"/>
      <c r="AC12" s="171">
        <f t="shared" si="2"/>
        <v>0</v>
      </c>
      <c r="AD12" s="77"/>
      <c r="AE12" s="77"/>
      <c r="AF12" s="172"/>
      <c r="AG12" s="80"/>
      <c r="AH12" s="80"/>
      <c r="AI12" s="77"/>
      <c r="AJ12" s="77"/>
      <c r="AK12" s="77"/>
      <c r="AL12" s="77"/>
      <c r="AM12" s="172"/>
      <c r="AN12" s="172"/>
      <c r="AO12" s="77"/>
      <c r="AP12" s="77"/>
      <c r="AQ12" s="77"/>
      <c r="AR12" s="77"/>
      <c r="AS12" s="77"/>
      <c r="AT12" s="77"/>
      <c r="AU12" s="171"/>
      <c r="AV12" s="171">
        <f t="shared" si="3"/>
        <v>0</v>
      </c>
      <c r="AW12" s="171">
        <f t="shared" si="4"/>
        <v>0</v>
      </c>
    </row>
    <row r="13" spans="1:49" x14ac:dyDescent="0.45">
      <c r="A13" s="78">
        <v>4</v>
      </c>
      <c r="B13" s="77"/>
      <c r="C13" s="77"/>
      <c r="D13" s="172"/>
      <c r="E13" s="77"/>
      <c r="F13" s="77"/>
      <c r="G13" s="77"/>
      <c r="H13" s="77"/>
      <c r="I13" s="172"/>
      <c r="J13" s="77"/>
      <c r="K13" s="171"/>
      <c r="L13" s="77"/>
      <c r="M13" s="77"/>
      <c r="N13" s="172"/>
      <c r="O13" s="172"/>
      <c r="P13" s="77"/>
      <c r="Q13" s="171"/>
      <c r="R13" s="171">
        <f t="shared" si="0"/>
        <v>0</v>
      </c>
      <c r="S13" s="171"/>
      <c r="T13" s="171"/>
      <c r="U13" s="171"/>
      <c r="V13" s="171">
        <f t="shared" si="1"/>
        <v>0</v>
      </c>
      <c r="W13" s="77"/>
      <c r="X13" s="172"/>
      <c r="Y13" s="172"/>
      <c r="Z13" s="77"/>
      <c r="AA13" s="77"/>
      <c r="AB13" s="171"/>
      <c r="AC13" s="171">
        <f t="shared" si="2"/>
        <v>0</v>
      </c>
      <c r="AD13" s="77"/>
      <c r="AE13" s="77"/>
      <c r="AF13" s="172"/>
      <c r="AG13" s="80"/>
      <c r="AH13" s="80"/>
      <c r="AI13" s="77"/>
      <c r="AJ13" s="77"/>
      <c r="AK13" s="77"/>
      <c r="AL13" s="77"/>
      <c r="AM13" s="172"/>
      <c r="AN13" s="172"/>
      <c r="AO13" s="77"/>
      <c r="AP13" s="77"/>
      <c r="AQ13" s="77"/>
      <c r="AR13" s="77"/>
      <c r="AS13" s="77"/>
      <c r="AT13" s="77"/>
      <c r="AU13" s="171"/>
      <c r="AV13" s="171">
        <f t="shared" si="3"/>
        <v>0</v>
      </c>
      <c r="AW13" s="171">
        <f t="shared" si="4"/>
        <v>0</v>
      </c>
    </row>
    <row r="14" spans="1:49" x14ac:dyDescent="0.45">
      <c r="A14" s="78">
        <v>5</v>
      </c>
      <c r="B14" s="77"/>
      <c r="C14" s="77"/>
      <c r="D14" s="172"/>
      <c r="E14" s="77"/>
      <c r="F14" s="77"/>
      <c r="G14" s="77"/>
      <c r="H14" s="77"/>
      <c r="I14" s="172"/>
      <c r="J14" s="77"/>
      <c r="K14" s="171"/>
      <c r="L14" s="77"/>
      <c r="M14" s="77"/>
      <c r="N14" s="172"/>
      <c r="O14" s="172"/>
      <c r="P14" s="77"/>
      <c r="Q14" s="171"/>
      <c r="R14" s="171">
        <f t="shared" si="0"/>
        <v>0</v>
      </c>
      <c r="S14" s="171"/>
      <c r="T14" s="171"/>
      <c r="U14" s="171"/>
      <c r="V14" s="171">
        <f t="shared" si="1"/>
        <v>0</v>
      </c>
      <c r="W14" s="77"/>
      <c r="X14" s="172"/>
      <c r="Y14" s="172"/>
      <c r="Z14" s="77"/>
      <c r="AA14" s="77"/>
      <c r="AB14" s="171"/>
      <c r="AC14" s="171">
        <f t="shared" si="2"/>
        <v>0</v>
      </c>
      <c r="AD14" s="77"/>
      <c r="AE14" s="77"/>
      <c r="AF14" s="172"/>
      <c r="AG14" s="80"/>
      <c r="AH14" s="80"/>
      <c r="AI14" s="77"/>
      <c r="AJ14" s="77"/>
      <c r="AK14" s="77"/>
      <c r="AL14" s="77"/>
      <c r="AM14" s="172"/>
      <c r="AN14" s="172"/>
      <c r="AO14" s="77"/>
      <c r="AP14" s="77"/>
      <c r="AQ14" s="77"/>
      <c r="AR14" s="77"/>
      <c r="AS14" s="77"/>
      <c r="AT14" s="77"/>
      <c r="AU14" s="171"/>
      <c r="AV14" s="171">
        <f t="shared" si="3"/>
        <v>0</v>
      </c>
      <c r="AW14" s="171">
        <f t="shared" si="4"/>
        <v>0</v>
      </c>
    </row>
    <row r="15" spans="1:49" x14ac:dyDescent="0.45">
      <c r="A15" s="78">
        <v>6</v>
      </c>
      <c r="B15" s="77"/>
      <c r="C15" s="77"/>
      <c r="D15" s="172"/>
      <c r="E15" s="77"/>
      <c r="F15" s="77"/>
      <c r="G15" s="77"/>
      <c r="H15" s="77"/>
      <c r="I15" s="172"/>
      <c r="J15" s="77"/>
      <c r="K15" s="171"/>
      <c r="L15" s="77"/>
      <c r="M15" s="77"/>
      <c r="N15" s="172"/>
      <c r="O15" s="172"/>
      <c r="P15" s="77"/>
      <c r="Q15" s="171"/>
      <c r="R15" s="171">
        <f t="shared" si="0"/>
        <v>0</v>
      </c>
      <c r="S15" s="171"/>
      <c r="T15" s="171"/>
      <c r="U15" s="171"/>
      <c r="V15" s="171">
        <f t="shared" si="1"/>
        <v>0</v>
      </c>
      <c r="W15" s="77"/>
      <c r="X15" s="172"/>
      <c r="Y15" s="172"/>
      <c r="Z15" s="77"/>
      <c r="AA15" s="77"/>
      <c r="AB15" s="171"/>
      <c r="AC15" s="171">
        <f t="shared" si="2"/>
        <v>0</v>
      </c>
      <c r="AD15" s="77"/>
      <c r="AE15" s="77"/>
      <c r="AF15" s="172"/>
      <c r="AG15" s="80"/>
      <c r="AH15" s="80"/>
      <c r="AI15" s="77"/>
      <c r="AJ15" s="77"/>
      <c r="AK15" s="77"/>
      <c r="AL15" s="77"/>
      <c r="AM15" s="172"/>
      <c r="AN15" s="172"/>
      <c r="AO15" s="77"/>
      <c r="AP15" s="77"/>
      <c r="AQ15" s="77"/>
      <c r="AR15" s="77"/>
      <c r="AS15" s="77"/>
      <c r="AT15" s="77"/>
      <c r="AU15" s="171"/>
      <c r="AV15" s="171">
        <f t="shared" si="3"/>
        <v>0</v>
      </c>
      <c r="AW15" s="171">
        <f t="shared" si="4"/>
        <v>0</v>
      </c>
    </row>
    <row r="16" spans="1:49" x14ac:dyDescent="0.45">
      <c r="A16" s="78">
        <v>7</v>
      </c>
      <c r="B16" s="77"/>
      <c r="C16" s="77"/>
      <c r="D16" s="172"/>
      <c r="E16" s="77"/>
      <c r="F16" s="77"/>
      <c r="G16" s="77"/>
      <c r="H16" s="77"/>
      <c r="I16" s="172"/>
      <c r="J16" s="77"/>
      <c r="K16" s="171"/>
      <c r="L16" s="77"/>
      <c r="M16" s="77"/>
      <c r="N16" s="172"/>
      <c r="O16" s="172"/>
      <c r="P16" s="77"/>
      <c r="Q16" s="171"/>
      <c r="R16" s="171">
        <f t="shared" si="0"/>
        <v>0</v>
      </c>
      <c r="S16" s="171"/>
      <c r="T16" s="171"/>
      <c r="U16" s="171"/>
      <c r="V16" s="171">
        <f t="shared" si="1"/>
        <v>0</v>
      </c>
      <c r="W16" s="77"/>
      <c r="X16" s="172"/>
      <c r="Y16" s="172"/>
      <c r="Z16" s="77"/>
      <c r="AA16" s="77"/>
      <c r="AB16" s="171"/>
      <c r="AC16" s="171">
        <f t="shared" si="2"/>
        <v>0</v>
      </c>
      <c r="AD16" s="77"/>
      <c r="AE16" s="77"/>
      <c r="AF16" s="172"/>
      <c r="AG16" s="80"/>
      <c r="AH16" s="80"/>
      <c r="AI16" s="77"/>
      <c r="AJ16" s="77"/>
      <c r="AK16" s="77"/>
      <c r="AL16" s="77"/>
      <c r="AM16" s="172"/>
      <c r="AN16" s="172"/>
      <c r="AO16" s="77"/>
      <c r="AP16" s="77"/>
      <c r="AQ16" s="77"/>
      <c r="AR16" s="77"/>
      <c r="AS16" s="77"/>
      <c r="AT16" s="77"/>
      <c r="AU16" s="171"/>
      <c r="AV16" s="171">
        <f t="shared" si="3"/>
        <v>0</v>
      </c>
      <c r="AW16" s="171">
        <f t="shared" si="4"/>
        <v>0</v>
      </c>
    </row>
    <row r="17" spans="1:49" x14ac:dyDescent="0.45">
      <c r="A17" s="78">
        <v>8</v>
      </c>
      <c r="B17" s="77"/>
      <c r="C17" s="77"/>
      <c r="D17" s="172"/>
      <c r="E17" s="77"/>
      <c r="F17" s="77"/>
      <c r="G17" s="77"/>
      <c r="H17" s="77"/>
      <c r="I17" s="172"/>
      <c r="J17" s="77"/>
      <c r="K17" s="171"/>
      <c r="L17" s="77"/>
      <c r="M17" s="77"/>
      <c r="N17" s="172"/>
      <c r="O17" s="172"/>
      <c r="P17" s="77"/>
      <c r="Q17" s="171"/>
      <c r="R17" s="171">
        <f t="shared" si="0"/>
        <v>0</v>
      </c>
      <c r="S17" s="171"/>
      <c r="T17" s="171"/>
      <c r="U17" s="171"/>
      <c r="V17" s="171">
        <f t="shared" si="1"/>
        <v>0</v>
      </c>
      <c r="W17" s="77"/>
      <c r="X17" s="172"/>
      <c r="Y17" s="172"/>
      <c r="Z17" s="77"/>
      <c r="AA17" s="77"/>
      <c r="AB17" s="171"/>
      <c r="AC17" s="171">
        <f t="shared" si="2"/>
        <v>0</v>
      </c>
      <c r="AD17" s="77"/>
      <c r="AE17" s="77"/>
      <c r="AF17" s="172"/>
      <c r="AG17" s="80"/>
      <c r="AH17" s="80"/>
      <c r="AI17" s="77"/>
      <c r="AJ17" s="77"/>
      <c r="AK17" s="77"/>
      <c r="AL17" s="77"/>
      <c r="AM17" s="172"/>
      <c r="AN17" s="172"/>
      <c r="AO17" s="77"/>
      <c r="AP17" s="77"/>
      <c r="AQ17" s="77"/>
      <c r="AR17" s="77"/>
      <c r="AS17" s="77"/>
      <c r="AT17" s="77"/>
      <c r="AU17" s="171"/>
      <c r="AV17" s="171">
        <f t="shared" si="3"/>
        <v>0</v>
      </c>
      <c r="AW17" s="171">
        <f t="shared" si="4"/>
        <v>0</v>
      </c>
    </row>
    <row r="18" spans="1:49" x14ac:dyDescent="0.45">
      <c r="A18" s="78">
        <v>9</v>
      </c>
      <c r="B18" s="77"/>
      <c r="C18" s="77"/>
      <c r="D18" s="172"/>
      <c r="E18" s="77"/>
      <c r="F18" s="77"/>
      <c r="G18" s="77"/>
      <c r="H18" s="77"/>
      <c r="I18" s="172"/>
      <c r="J18" s="77"/>
      <c r="K18" s="171"/>
      <c r="L18" s="77"/>
      <c r="M18" s="77"/>
      <c r="N18" s="172"/>
      <c r="O18" s="172"/>
      <c r="P18" s="77"/>
      <c r="Q18" s="171"/>
      <c r="R18" s="171">
        <f t="shared" si="0"/>
        <v>0</v>
      </c>
      <c r="S18" s="171"/>
      <c r="T18" s="171"/>
      <c r="U18" s="171"/>
      <c r="V18" s="171">
        <f t="shared" si="1"/>
        <v>0</v>
      </c>
      <c r="W18" s="77"/>
      <c r="X18" s="172"/>
      <c r="Y18" s="172"/>
      <c r="Z18" s="77"/>
      <c r="AA18" s="77"/>
      <c r="AB18" s="171"/>
      <c r="AC18" s="171">
        <f t="shared" si="2"/>
        <v>0</v>
      </c>
      <c r="AD18" s="77"/>
      <c r="AE18" s="77"/>
      <c r="AF18" s="172"/>
      <c r="AG18" s="80"/>
      <c r="AH18" s="80"/>
      <c r="AI18" s="77"/>
      <c r="AJ18" s="77"/>
      <c r="AK18" s="77"/>
      <c r="AL18" s="77"/>
      <c r="AM18" s="172"/>
      <c r="AN18" s="172"/>
      <c r="AO18" s="77"/>
      <c r="AP18" s="77"/>
      <c r="AQ18" s="77"/>
      <c r="AR18" s="77"/>
      <c r="AS18" s="77"/>
      <c r="AT18" s="77"/>
      <c r="AU18" s="171"/>
      <c r="AV18" s="171">
        <f t="shared" si="3"/>
        <v>0</v>
      </c>
      <c r="AW18" s="171">
        <f t="shared" si="4"/>
        <v>0</v>
      </c>
    </row>
    <row r="19" spans="1:49" x14ac:dyDescent="0.45">
      <c r="A19" s="78">
        <v>10</v>
      </c>
      <c r="B19" s="77"/>
      <c r="C19" s="77"/>
      <c r="D19" s="172"/>
      <c r="E19" s="77"/>
      <c r="F19" s="77"/>
      <c r="G19" s="77"/>
      <c r="H19" s="77"/>
      <c r="I19" s="172"/>
      <c r="J19" s="77"/>
      <c r="K19" s="171"/>
      <c r="L19" s="77"/>
      <c r="M19" s="77"/>
      <c r="N19" s="172"/>
      <c r="O19" s="172"/>
      <c r="P19" s="77"/>
      <c r="Q19" s="171"/>
      <c r="R19" s="171">
        <f t="shared" si="0"/>
        <v>0</v>
      </c>
      <c r="S19" s="171"/>
      <c r="T19" s="171"/>
      <c r="U19" s="171"/>
      <c r="V19" s="171">
        <f t="shared" si="1"/>
        <v>0</v>
      </c>
      <c r="W19" s="77"/>
      <c r="X19" s="172"/>
      <c r="Y19" s="172"/>
      <c r="Z19" s="77"/>
      <c r="AA19" s="77"/>
      <c r="AB19" s="171"/>
      <c r="AC19" s="171">
        <f t="shared" si="2"/>
        <v>0</v>
      </c>
      <c r="AD19" s="77"/>
      <c r="AE19" s="77"/>
      <c r="AF19" s="172"/>
      <c r="AG19" s="80"/>
      <c r="AH19" s="80"/>
      <c r="AI19" s="77"/>
      <c r="AJ19" s="77"/>
      <c r="AK19" s="77"/>
      <c r="AL19" s="77"/>
      <c r="AM19" s="172"/>
      <c r="AN19" s="172"/>
      <c r="AO19" s="77"/>
      <c r="AP19" s="77"/>
      <c r="AQ19" s="77"/>
      <c r="AR19" s="77"/>
      <c r="AS19" s="77"/>
      <c r="AT19" s="77"/>
      <c r="AU19" s="171"/>
      <c r="AV19" s="171">
        <f t="shared" si="3"/>
        <v>0</v>
      </c>
      <c r="AW19" s="171">
        <f t="shared" si="4"/>
        <v>0</v>
      </c>
    </row>
    <row r="20" spans="1:49" x14ac:dyDescent="0.45">
      <c r="A20" s="78">
        <v>11</v>
      </c>
      <c r="B20" s="77"/>
      <c r="C20" s="77"/>
      <c r="D20" s="172"/>
      <c r="E20" s="77"/>
      <c r="F20" s="77"/>
      <c r="G20" s="77"/>
      <c r="H20" s="77"/>
      <c r="I20" s="172"/>
      <c r="J20" s="77"/>
      <c r="K20" s="171"/>
      <c r="L20" s="77"/>
      <c r="M20" s="77"/>
      <c r="N20" s="172"/>
      <c r="O20" s="172"/>
      <c r="P20" s="77"/>
      <c r="Q20" s="171"/>
      <c r="R20" s="171">
        <f t="shared" si="0"/>
        <v>0</v>
      </c>
      <c r="S20" s="171"/>
      <c r="T20" s="171"/>
      <c r="U20" s="171"/>
      <c r="V20" s="171">
        <f t="shared" si="1"/>
        <v>0</v>
      </c>
      <c r="W20" s="77"/>
      <c r="X20" s="172"/>
      <c r="Y20" s="172"/>
      <c r="Z20" s="77"/>
      <c r="AA20" s="77"/>
      <c r="AB20" s="171"/>
      <c r="AC20" s="171">
        <f t="shared" si="2"/>
        <v>0</v>
      </c>
      <c r="AD20" s="77"/>
      <c r="AE20" s="77"/>
      <c r="AF20" s="172"/>
      <c r="AG20" s="80"/>
      <c r="AH20" s="80"/>
      <c r="AI20" s="77"/>
      <c r="AJ20" s="77"/>
      <c r="AK20" s="77"/>
      <c r="AL20" s="77"/>
      <c r="AM20" s="172"/>
      <c r="AN20" s="172"/>
      <c r="AO20" s="77"/>
      <c r="AP20" s="77"/>
      <c r="AQ20" s="77"/>
      <c r="AR20" s="77"/>
      <c r="AS20" s="77"/>
      <c r="AT20" s="77"/>
      <c r="AU20" s="171"/>
      <c r="AV20" s="171">
        <f t="shared" si="3"/>
        <v>0</v>
      </c>
      <c r="AW20" s="171">
        <f t="shared" si="4"/>
        <v>0</v>
      </c>
    </row>
    <row r="21" spans="1:49" x14ac:dyDescent="0.45">
      <c r="A21" s="78">
        <v>12</v>
      </c>
      <c r="B21" s="77"/>
      <c r="C21" s="77"/>
      <c r="D21" s="172"/>
      <c r="E21" s="77"/>
      <c r="F21" s="77"/>
      <c r="G21" s="77"/>
      <c r="H21" s="77"/>
      <c r="I21" s="172"/>
      <c r="J21" s="77"/>
      <c r="K21" s="171"/>
      <c r="L21" s="77"/>
      <c r="M21" s="77"/>
      <c r="N21" s="172"/>
      <c r="O21" s="172"/>
      <c r="P21" s="77"/>
      <c r="Q21" s="171"/>
      <c r="R21" s="171">
        <f t="shared" si="0"/>
        <v>0</v>
      </c>
      <c r="S21" s="171"/>
      <c r="T21" s="171"/>
      <c r="U21" s="171"/>
      <c r="V21" s="171">
        <f t="shared" si="1"/>
        <v>0</v>
      </c>
      <c r="W21" s="77"/>
      <c r="X21" s="172"/>
      <c r="Y21" s="172"/>
      <c r="Z21" s="77"/>
      <c r="AA21" s="77"/>
      <c r="AB21" s="171"/>
      <c r="AC21" s="171">
        <f t="shared" si="2"/>
        <v>0</v>
      </c>
      <c r="AD21" s="77"/>
      <c r="AE21" s="77"/>
      <c r="AF21" s="172"/>
      <c r="AG21" s="80"/>
      <c r="AH21" s="80"/>
      <c r="AI21" s="77"/>
      <c r="AJ21" s="77"/>
      <c r="AK21" s="77"/>
      <c r="AL21" s="77"/>
      <c r="AM21" s="172"/>
      <c r="AN21" s="172"/>
      <c r="AO21" s="77"/>
      <c r="AP21" s="77"/>
      <c r="AQ21" s="77"/>
      <c r="AR21" s="77"/>
      <c r="AS21" s="77"/>
      <c r="AT21" s="77"/>
      <c r="AU21" s="171"/>
      <c r="AV21" s="171">
        <f t="shared" si="3"/>
        <v>0</v>
      </c>
      <c r="AW21" s="171">
        <f t="shared" si="4"/>
        <v>0</v>
      </c>
    </row>
    <row r="22" spans="1:49" x14ac:dyDescent="0.45">
      <c r="A22" s="78">
        <v>13</v>
      </c>
      <c r="B22" s="77"/>
      <c r="C22" s="77"/>
      <c r="D22" s="172"/>
      <c r="E22" s="77"/>
      <c r="F22" s="77"/>
      <c r="G22" s="77"/>
      <c r="H22" s="77"/>
      <c r="I22" s="172"/>
      <c r="J22" s="77"/>
      <c r="K22" s="171"/>
      <c r="L22" s="77"/>
      <c r="M22" s="77"/>
      <c r="N22" s="172"/>
      <c r="O22" s="172"/>
      <c r="P22" s="77"/>
      <c r="Q22" s="171"/>
      <c r="R22" s="171">
        <f t="shared" si="0"/>
        <v>0</v>
      </c>
      <c r="S22" s="171"/>
      <c r="T22" s="171"/>
      <c r="U22" s="171"/>
      <c r="V22" s="171">
        <f t="shared" si="1"/>
        <v>0</v>
      </c>
      <c r="W22" s="77"/>
      <c r="X22" s="172"/>
      <c r="Y22" s="172"/>
      <c r="Z22" s="77"/>
      <c r="AA22" s="77"/>
      <c r="AB22" s="171"/>
      <c r="AC22" s="171">
        <f t="shared" si="2"/>
        <v>0</v>
      </c>
      <c r="AD22" s="77"/>
      <c r="AE22" s="77"/>
      <c r="AF22" s="172"/>
      <c r="AG22" s="80"/>
      <c r="AH22" s="80"/>
      <c r="AI22" s="77"/>
      <c r="AJ22" s="77"/>
      <c r="AK22" s="77"/>
      <c r="AL22" s="77"/>
      <c r="AM22" s="172"/>
      <c r="AN22" s="172"/>
      <c r="AO22" s="77"/>
      <c r="AP22" s="77"/>
      <c r="AQ22" s="77"/>
      <c r="AR22" s="77"/>
      <c r="AS22" s="77"/>
      <c r="AT22" s="77"/>
      <c r="AU22" s="171"/>
      <c r="AV22" s="171">
        <f t="shared" si="3"/>
        <v>0</v>
      </c>
      <c r="AW22" s="171">
        <f t="shared" si="4"/>
        <v>0</v>
      </c>
    </row>
    <row r="23" spans="1:49" x14ac:dyDescent="0.45">
      <c r="A23" s="78">
        <v>14</v>
      </c>
      <c r="B23" s="77"/>
      <c r="C23" s="77"/>
      <c r="D23" s="172"/>
      <c r="E23" s="77"/>
      <c r="F23" s="77"/>
      <c r="G23" s="77"/>
      <c r="H23" s="77"/>
      <c r="I23" s="172"/>
      <c r="J23" s="77"/>
      <c r="K23" s="171"/>
      <c r="L23" s="77"/>
      <c r="M23" s="77"/>
      <c r="N23" s="172"/>
      <c r="O23" s="172"/>
      <c r="P23" s="77"/>
      <c r="Q23" s="171"/>
      <c r="R23" s="171">
        <f t="shared" si="0"/>
        <v>0</v>
      </c>
      <c r="S23" s="171"/>
      <c r="T23" s="171"/>
      <c r="U23" s="171"/>
      <c r="V23" s="171">
        <f t="shared" si="1"/>
        <v>0</v>
      </c>
      <c r="W23" s="77"/>
      <c r="X23" s="172"/>
      <c r="Y23" s="172"/>
      <c r="Z23" s="77"/>
      <c r="AA23" s="77"/>
      <c r="AB23" s="171"/>
      <c r="AC23" s="171">
        <f t="shared" si="2"/>
        <v>0</v>
      </c>
      <c r="AD23" s="77"/>
      <c r="AE23" s="77"/>
      <c r="AF23" s="172"/>
      <c r="AG23" s="80"/>
      <c r="AH23" s="80"/>
      <c r="AI23" s="77"/>
      <c r="AJ23" s="77"/>
      <c r="AK23" s="77"/>
      <c r="AL23" s="77"/>
      <c r="AM23" s="172"/>
      <c r="AN23" s="172"/>
      <c r="AO23" s="77"/>
      <c r="AP23" s="77"/>
      <c r="AQ23" s="77"/>
      <c r="AR23" s="77"/>
      <c r="AS23" s="77"/>
      <c r="AT23" s="77"/>
      <c r="AU23" s="171"/>
      <c r="AV23" s="171">
        <f t="shared" si="3"/>
        <v>0</v>
      </c>
      <c r="AW23" s="171">
        <f t="shared" si="4"/>
        <v>0</v>
      </c>
    </row>
    <row r="24" spans="1:49" x14ac:dyDescent="0.45">
      <c r="A24" s="78">
        <v>15</v>
      </c>
      <c r="B24" s="77"/>
      <c r="C24" s="77"/>
      <c r="D24" s="172"/>
      <c r="E24" s="77"/>
      <c r="F24" s="77"/>
      <c r="G24" s="77"/>
      <c r="H24" s="77"/>
      <c r="I24" s="172"/>
      <c r="J24" s="77"/>
      <c r="K24" s="171"/>
      <c r="L24" s="77"/>
      <c r="M24" s="77"/>
      <c r="N24" s="172"/>
      <c r="O24" s="172"/>
      <c r="P24" s="77"/>
      <c r="Q24" s="171"/>
      <c r="R24" s="171">
        <f t="shared" si="0"/>
        <v>0</v>
      </c>
      <c r="S24" s="171"/>
      <c r="T24" s="171"/>
      <c r="U24" s="171"/>
      <c r="V24" s="171">
        <f t="shared" si="1"/>
        <v>0</v>
      </c>
      <c r="W24" s="77"/>
      <c r="X24" s="172"/>
      <c r="Y24" s="172"/>
      <c r="Z24" s="77"/>
      <c r="AA24" s="77"/>
      <c r="AB24" s="171"/>
      <c r="AC24" s="171">
        <f t="shared" si="2"/>
        <v>0</v>
      </c>
      <c r="AD24" s="77"/>
      <c r="AE24" s="77"/>
      <c r="AF24" s="172"/>
      <c r="AG24" s="80"/>
      <c r="AH24" s="80"/>
      <c r="AI24" s="77"/>
      <c r="AJ24" s="77"/>
      <c r="AK24" s="77"/>
      <c r="AL24" s="77"/>
      <c r="AM24" s="172"/>
      <c r="AN24" s="172"/>
      <c r="AO24" s="77"/>
      <c r="AP24" s="77"/>
      <c r="AQ24" s="77"/>
      <c r="AR24" s="77"/>
      <c r="AS24" s="77"/>
      <c r="AT24" s="77"/>
      <c r="AU24" s="171"/>
      <c r="AV24" s="171">
        <f t="shared" si="3"/>
        <v>0</v>
      </c>
      <c r="AW24" s="171">
        <f t="shared" si="4"/>
        <v>0</v>
      </c>
    </row>
    <row r="25" spans="1:49" x14ac:dyDescent="0.45">
      <c r="A25" s="78">
        <v>16</v>
      </c>
      <c r="B25" s="77"/>
      <c r="C25" s="77"/>
      <c r="D25" s="172"/>
      <c r="E25" s="77"/>
      <c r="F25" s="77"/>
      <c r="G25" s="77"/>
      <c r="H25" s="77"/>
      <c r="I25" s="172"/>
      <c r="J25" s="77"/>
      <c r="K25" s="171"/>
      <c r="L25" s="77"/>
      <c r="M25" s="77"/>
      <c r="N25" s="172"/>
      <c r="O25" s="172"/>
      <c r="P25" s="77"/>
      <c r="Q25" s="171"/>
      <c r="R25" s="171">
        <f t="shared" si="0"/>
        <v>0</v>
      </c>
      <c r="S25" s="171"/>
      <c r="T25" s="171"/>
      <c r="U25" s="171"/>
      <c r="V25" s="171">
        <f t="shared" si="1"/>
        <v>0</v>
      </c>
      <c r="W25" s="77"/>
      <c r="X25" s="172"/>
      <c r="Y25" s="172"/>
      <c r="Z25" s="77"/>
      <c r="AA25" s="77"/>
      <c r="AB25" s="171"/>
      <c r="AC25" s="171">
        <f t="shared" si="2"/>
        <v>0</v>
      </c>
      <c r="AD25" s="77"/>
      <c r="AE25" s="77"/>
      <c r="AF25" s="172"/>
      <c r="AG25" s="80"/>
      <c r="AH25" s="80"/>
      <c r="AI25" s="77"/>
      <c r="AJ25" s="77"/>
      <c r="AK25" s="77"/>
      <c r="AL25" s="77"/>
      <c r="AM25" s="172"/>
      <c r="AN25" s="172"/>
      <c r="AO25" s="77"/>
      <c r="AP25" s="77"/>
      <c r="AQ25" s="77"/>
      <c r="AR25" s="77"/>
      <c r="AS25" s="77"/>
      <c r="AT25" s="77"/>
      <c r="AU25" s="171"/>
      <c r="AV25" s="171">
        <f t="shared" si="3"/>
        <v>0</v>
      </c>
      <c r="AW25" s="171">
        <f t="shared" si="4"/>
        <v>0</v>
      </c>
    </row>
    <row r="26" spans="1:49" x14ac:dyDescent="0.45">
      <c r="A26" s="78">
        <v>17</v>
      </c>
      <c r="B26" s="77"/>
      <c r="C26" s="77"/>
      <c r="D26" s="172"/>
      <c r="E26" s="77"/>
      <c r="F26" s="77"/>
      <c r="G26" s="77"/>
      <c r="H26" s="77"/>
      <c r="I26" s="172"/>
      <c r="J26" s="77"/>
      <c r="K26" s="171"/>
      <c r="L26" s="77"/>
      <c r="M26" s="77"/>
      <c r="N26" s="172"/>
      <c r="O26" s="172"/>
      <c r="P26" s="77"/>
      <c r="Q26" s="171"/>
      <c r="R26" s="171">
        <f t="shared" si="0"/>
        <v>0</v>
      </c>
      <c r="S26" s="171"/>
      <c r="T26" s="171"/>
      <c r="U26" s="171"/>
      <c r="V26" s="171">
        <f t="shared" si="1"/>
        <v>0</v>
      </c>
      <c r="W26" s="77"/>
      <c r="X26" s="172"/>
      <c r="Y26" s="172"/>
      <c r="Z26" s="77"/>
      <c r="AA26" s="77"/>
      <c r="AB26" s="171"/>
      <c r="AC26" s="171">
        <f t="shared" si="2"/>
        <v>0</v>
      </c>
      <c r="AD26" s="77"/>
      <c r="AE26" s="77"/>
      <c r="AF26" s="172"/>
      <c r="AG26" s="80"/>
      <c r="AH26" s="80"/>
      <c r="AI26" s="77"/>
      <c r="AJ26" s="77"/>
      <c r="AK26" s="77"/>
      <c r="AL26" s="77"/>
      <c r="AM26" s="172"/>
      <c r="AN26" s="172"/>
      <c r="AO26" s="77"/>
      <c r="AP26" s="77"/>
      <c r="AQ26" s="77"/>
      <c r="AR26" s="77"/>
      <c r="AS26" s="77"/>
      <c r="AT26" s="77"/>
      <c r="AU26" s="171"/>
      <c r="AV26" s="171">
        <f t="shared" si="3"/>
        <v>0</v>
      </c>
      <c r="AW26" s="171">
        <f t="shared" si="4"/>
        <v>0</v>
      </c>
    </row>
    <row r="27" spans="1:49" x14ac:dyDescent="0.45">
      <c r="A27" s="78">
        <v>18</v>
      </c>
      <c r="B27" s="77"/>
      <c r="C27" s="77"/>
      <c r="D27" s="172"/>
      <c r="E27" s="77"/>
      <c r="F27" s="77"/>
      <c r="G27" s="77"/>
      <c r="H27" s="77"/>
      <c r="I27" s="172"/>
      <c r="J27" s="77"/>
      <c r="K27" s="171"/>
      <c r="L27" s="77"/>
      <c r="M27" s="77"/>
      <c r="N27" s="172"/>
      <c r="O27" s="172"/>
      <c r="P27" s="77"/>
      <c r="Q27" s="171"/>
      <c r="R27" s="171">
        <f t="shared" si="0"/>
        <v>0</v>
      </c>
      <c r="S27" s="171"/>
      <c r="T27" s="171"/>
      <c r="U27" s="171"/>
      <c r="V27" s="171">
        <f t="shared" si="1"/>
        <v>0</v>
      </c>
      <c r="W27" s="77"/>
      <c r="X27" s="172"/>
      <c r="Y27" s="172"/>
      <c r="Z27" s="77"/>
      <c r="AA27" s="77"/>
      <c r="AB27" s="171"/>
      <c r="AC27" s="171">
        <f t="shared" si="2"/>
        <v>0</v>
      </c>
      <c r="AD27" s="77"/>
      <c r="AE27" s="77"/>
      <c r="AF27" s="172"/>
      <c r="AG27" s="80"/>
      <c r="AH27" s="80"/>
      <c r="AI27" s="77"/>
      <c r="AJ27" s="77"/>
      <c r="AK27" s="77"/>
      <c r="AL27" s="77"/>
      <c r="AM27" s="172"/>
      <c r="AN27" s="172"/>
      <c r="AO27" s="77"/>
      <c r="AP27" s="77"/>
      <c r="AQ27" s="77"/>
      <c r="AR27" s="77"/>
      <c r="AS27" s="77"/>
      <c r="AT27" s="77"/>
      <c r="AU27" s="171"/>
      <c r="AV27" s="171">
        <f t="shared" si="3"/>
        <v>0</v>
      </c>
      <c r="AW27" s="171">
        <f t="shared" si="4"/>
        <v>0</v>
      </c>
    </row>
    <row r="28" spans="1:49" x14ac:dyDescent="0.45">
      <c r="A28" s="78">
        <v>19</v>
      </c>
      <c r="B28" s="77"/>
      <c r="C28" s="77"/>
      <c r="D28" s="172"/>
      <c r="E28" s="77"/>
      <c r="F28" s="77"/>
      <c r="G28" s="77"/>
      <c r="H28" s="77"/>
      <c r="I28" s="172"/>
      <c r="J28" s="77"/>
      <c r="K28" s="171"/>
      <c r="L28" s="77"/>
      <c r="M28" s="77"/>
      <c r="N28" s="172"/>
      <c r="O28" s="172"/>
      <c r="P28" s="77"/>
      <c r="Q28" s="171"/>
      <c r="R28" s="171">
        <f t="shared" si="0"/>
        <v>0</v>
      </c>
      <c r="S28" s="171"/>
      <c r="T28" s="171"/>
      <c r="U28" s="171"/>
      <c r="V28" s="171">
        <f t="shared" si="1"/>
        <v>0</v>
      </c>
      <c r="W28" s="77"/>
      <c r="X28" s="172"/>
      <c r="Y28" s="172"/>
      <c r="Z28" s="77"/>
      <c r="AA28" s="77"/>
      <c r="AB28" s="171"/>
      <c r="AC28" s="171">
        <f t="shared" si="2"/>
        <v>0</v>
      </c>
      <c r="AD28" s="77"/>
      <c r="AE28" s="77"/>
      <c r="AF28" s="172"/>
      <c r="AG28" s="80"/>
      <c r="AH28" s="80"/>
      <c r="AI28" s="77"/>
      <c r="AJ28" s="77"/>
      <c r="AK28" s="77"/>
      <c r="AL28" s="77"/>
      <c r="AM28" s="172"/>
      <c r="AN28" s="172"/>
      <c r="AO28" s="77"/>
      <c r="AP28" s="77"/>
      <c r="AQ28" s="77"/>
      <c r="AR28" s="77"/>
      <c r="AS28" s="77"/>
      <c r="AT28" s="77"/>
      <c r="AU28" s="171"/>
      <c r="AV28" s="171">
        <f t="shared" si="3"/>
        <v>0</v>
      </c>
      <c r="AW28" s="171">
        <f t="shared" si="4"/>
        <v>0</v>
      </c>
    </row>
    <row r="29" spans="1:49" x14ac:dyDescent="0.45">
      <c r="A29" s="78">
        <v>20</v>
      </c>
      <c r="B29" s="77"/>
      <c r="C29" s="77"/>
      <c r="D29" s="172"/>
      <c r="E29" s="77"/>
      <c r="F29" s="77"/>
      <c r="G29" s="77"/>
      <c r="H29" s="77"/>
      <c r="I29" s="172"/>
      <c r="J29" s="77"/>
      <c r="K29" s="171"/>
      <c r="L29" s="77"/>
      <c r="M29" s="77"/>
      <c r="N29" s="172"/>
      <c r="O29" s="172"/>
      <c r="P29" s="77"/>
      <c r="Q29" s="171"/>
      <c r="R29" s="171">
        <f t="shared" si="0"/>
        <v>0</v>
      </c>
      <c r="S29" s="171"/>
      <c r="T29" s="171"/>
      <c r="U29" s="171"/>
      <c r="V29" s="171">
        <f t="shared" si="1"/>
        <v>0</v>
      </c>
      <c r="W29" s="77"/>
      <c r="X29" s="172"/>
      <c r="Y29" s="172"/>
      <c r="Z29" s="77"/>
      <c r="AA29" s="77"/>
      <c r="AB29" s="171"/>
      <c r="AC29" s="171">
        <f t="shared" si="2"/>
        <v>0</v>
      </c>
      <c r="AD29" s="77"/>
      <c r="AE29" s="77"/>
      <c r="AF29" s="172"/>
      <c r="AG29" s="80"/>
      <c r="AH29" s="80"/>
      <c r="AI29" s="77"/>
      <c r="AJ29" s="77"/>
      <c r="AK29" s="77"/>
      <c r="AL29" s="77"/>
      <c r="AM29" s="172"/>
      <c r="AN29" s="172"/>
      <c r="AO29" s="77"/>
      <c r="AP29" s="77"/>
      <c r="AQ29" s="77"/>
      <c r="AR29" s="77"/>
      <c r="AS29" s="77"/>
      <c r="AT29" s="77"/>
      <c r="AU29" s="171"/>
      <c r="AV29" s="171">
        <f t="shared" si="3"/>
        <v>0</v>
      </c>
      <c r="AW29" s="171">
        <f t="shared" si="4"/>
        <v>0</v>
      </c>
    </row>
    <row r="30" spans="1:49" x14ac:dyDescent="0.45">
      <c r="A30" s="78">
        <v>21</v>
      </c>
      <c r="B30" s="77"/>
      <c r="C30" s="77"/>
      <c r="D30" s="172"/>
      <c r="E30" s="77"/>
      <c r="F30" s="77"/>
      <c r="G30" s="77"/>
      <c r="H30" s="77"/>
      <c r="I30" s="172"/>
      <c r="J30" s="77"/>
      <c r="K30" s="171"/>
      <c r="L30" s="77"/>
      <c r="M30" s="77"/>
      <c r="N30" s="172"/>
      <c r="O30" s="172"/>
      <c r="P30" s="77"/>
      <c r="Q30" s="171"/>
      <c r="R30" s="171">
        <f t="shared" si="0"/>
        <v>0</v>
      </c>
      <c r="S30" s="171"/>
      <c r="T30" s="171"/>
      <c r="U30" s="171"/>
      <c r="V30" s="171">
        <f t="shared" si="1"/>
        <v>0</v>
      </c>
      <c r="W30" s="77"/>
      <c r="X30" s="172"/>
      <c r="Y30" s="172"/>
      <c r="Z30" s="77"/>
      <c r="AA30" s="77"/>
      <c r="AB30" s="171"/>
      <c r="AC30" s="171">
        <f t="shared" si="2"/>
        <v>0</v>
      </c>
      <c r="AD30" s="77"/>
      <c r="AE30" s="77"/>
      <c r="AF30" s="172"/>
      <c r="AG30" s="80"/>
      <c r="AH30" s="80"/>
      <c r="AI30" s="77"/>
      <c r="AJ30" s="77"/>
      <c r="AK30" s="77"/>
      <c r="AL30" s="77"/>
      <c r="AM30" s="172"/>
      <c r="AN30" s="172"/>
      <c r="AO30" s="77"/>
      <c r="AP30" s="77"/>
      <c r="AQ30" s="77"/>
      <c r="AR30" s="77"/>
      <c r="AS30" s="77"/>
      <c r="AT30" s="77"/>
      <c r="AU30" s="171"/>
      <c r="AV30" s="171">
        <f t="shared" si="3"/>
        <v>0</v>
      </c>
      <c r="AW30" s="171">
        <f t="shared" si="4"/>
        <v>0</v>
      </c>
    </row>
    <row r="31" spans="1:49" x14ac:dyDescent="0.45">
      <c r="A31" s="78">
        <v>22</v>
      </c>
      <c r="B31" s="77"/>
      <c r="C31" s="77"/>
      <c r="D31" s="172"/>
      <c r="E31" s="77"/>
      <c r="F31" s="77"/>
      <c r="G31" s="77"/>
      <c r="H31" s="77"/>
      <c r="I31" s="172"/>
      <c r="J31" s="77"/>
      <c r="K31" s="171"/>
      <c r="L31" s="77"/>
      <c r="M31" s="77"/>
      <c r="N31" s="172"/>
      <c r="O31" s="172"/>
      <c r="P31" s="77"/>
      <c r="Q31" s="171"/>
      <c r="R31" s="171">
        <f t="shared" si="0"/>
        <v>0</v>
      </c>
      <c r="S31" s="171"/>
      <c r="T31" s="171"/>
      <c r="U31" s="171"/>
      <c r="V31" s="171">
        <f t="shared" si="1"/>
        <v>0</v>
      </c>
      <c r="W31" s="77"/>
      <c r="X31" s="172"/>
      <c r="Y31" s="172"/>
      <c r="Z31" s="77"/>
      <c r="AA31" s="77"/>
      <c r="AB31" s="171"/>
      <c r="AC31" s="171">
        <f t="shared" si="2"/>
        <v>0</v>
      </c>
      <c r="AD31" s="77"/>
      <c r="AE31" s="77"/>
      <c r="AF31" s="172"/>
      <c r="AG31" s="80"/>
      <c r="AH31" s="80"/>
      <c r="AI31" s="77"/>
      <c r="AJ31" s="77"/>
      <c r="AK31" s="77"/>
      <c r="AL31" s="77"/>
      <c r="AM31" s="172"/>
      <c r="AN31" s="172"/>
      <c r="AO31" s="77"/>
      <c r="AP31" s="77"/>
      <c r="AQ31" s="77"/>
      <c r="AR31" s="77"/>
      <c r="AS31" s="77"/>
      <c r="AT31" s="77"/>
      <c r="AU31" s="171"/>
      <c r="AV31" s="171">
        <f t="shared" si="3"/>
        <v>0</v>
      </c>
      <c r="AW31" s="171">
        <f t="shared" si="4"/>
        <v>0</v>
      </c>
    </row>
    <row r="32" spans="1:49" x14ac:dyDescent="0.45">
      <c r="A32" s="78">
        <v>23</v>
      </c>
      <c r="B32" s="77"/>
      <c r="C32" s="77"/>
      <c r="D32" s="172"/>
      <c r="E32" s="77"/>
      <c r="F32" s="77"/>
      <c r="G32" s="77"/>
      <c r="H32" s="77"/>
      <c r="I32" s="172"/>
      <c r="J32" s="77"/>
      <c r="K32" s="171"/>
      <c r="L32" s="77"/>
      <c r="M32" s="77"/>
      <c r="N32" s="172"/>
      <c r="O32" s="172"/>
      <c r="P32" s="77"/>
      <c r="Q32" s="171"/>
      <c r="R32" s="171">
        <f t="shared" si="0"/>
        <v>0</v>
      </c>
      <c r="S32" s="171"/>
      <c r="T32" s="171"/>
      <c r="U32" s="171"/>
      <c r="V32" s="171">
        <f t="shared" si="1"/>
        <v>0</v>
      </c>
      <c r="W32" s="77"/>
      <c r="X32" s="172"/>
      <c r="Y32" s="172"/>
      <c r="Z32" s="77"/>
      <c r="AA32" s="77"/>
      <c r="AB32" s="171"/>
      <c r="AC32" s="171">
        <f t="shared" si="2"/>
        <v>0</v>
      </c>
      <c r="AD32" s="77"/>
      <c r="AE32" s="77"/>
      <c r="AF32" s="172"/>
      <c r="AG32" s="80"/>
      <c r="AH32" s="80"/>
      <c r="AI32" s="77"/>
      <c r="AJ32" s="77"/>
      <c r="AK32" s="77"/>
      <c r="AL32" s="77"/>
      <c r="AM32" s="172"/>
      <c r="AN32" s="172"/>
      <c r="AO32" s="77"/>
      <c r="AP32" s="77"/>
      <c r="AQ32" s="77"/>
      <c r="AR32" s="77"/>
      <c r="AS32" s="77"/>
      <c r="AT32" s="77"/>
      <c r="AU32" s="171"/>
      <c r="AV32" s="171">
        <f t="shared" si="3"/>
        <v>0</v>
      </c>
      <c r="AW32" s="171">
        <f t="shared" si="4"/>
        <v>0</v>
      </c>
    </row>
    <row r="33" spans="1:49" x14ac:dyDescent="0.45">
      <c r="A33" s="78">
        <v>24</v>
      </c>
      <c r="B33" s="77"/>
      <c r="C33" s="77"/>
      <c r="D33" s="172"/>
      <c r="E33" s="77"/>
      <c r="F33" s="77"/>
      <c r="G33" s="77"/>
      <c r="H33" s="77"/>
      <c r="I33" s="172"/>
      <c r="J33" s="77"/>
      <c r="K33" s="171"/>
      <c r="L33" s="77"/>
      <c r="M33" s="77"/>
      <c r="N33" s="172"/>
      <c r="O33" s="172"/>
      <c r="P33" s="77"/>
      <c r="Q33" s="171"/>
      <c r="R33" s="171">
        <f t="shared" si="0"/>
        <v>0</v>
      </c>
      <c r="S33" s="171"/>
      <c r="T33" s="171"/>
      <c r="U33" s="171"/>
      <c r="V33" s="171">
        <f t="shared" si="1"/>
        <v>0</v>
      </c>
      <c r="W33" s="77"/>
      <c r="X33" s="172"/>
      <c r="Y33" s="172"/>
      <c r="Z33" s="77"/>
      <c r="AA33" s="77"/>
      <c r="AB33" s="171"/>
      <c r="AC33" s="171">
        <f t="shared" si="2"/>
        <v>0</v>
      </c>
      <c r="AD33" s="77"/>
      <c r="AE33" s="77"/>
      <c r="AF33" s="172"/>
      <c r="AG33" s="80"/>
      <c r="AH33" s="80"/>
      <c r="AI33" s="77"/>
      <c r="AJ33" s="77"/>
      <c r="AK33" s="77"/>
      <c r="AL33" s="77"/>
      <c r="AM33" s="172"/>
      <c r="AN33" s="172"/>
      <c r="AO33" s="77"/>
      <c r="AP33" s="77"/>
      <c r="AQ33" s="77"/>
      <c r="AR33" s="77"/>
      <c r="AS33" s="77"/>
      <c r="AT33" s="77"/>
      <c r="AU33" s="171"/>
      <c r="AV33" s="171">
        <f t="shared" si="3"/>
        <v>0</v>
      </c>
      <c r="AW33" s="171">
        <f t="shared" si="4"/>
        <v>0</v>
      </c>
    </row>
    <row r="34" spans="1:49" x14ac:dyDescent="0.45">
      <c r="A34" s="78">
        <v>25</v>
      </c>
      <c r="B34" s="77"/>
      <c r="C34" s="77"/>
      <c r="D34" s="172"/>
      <c r="E34" s="77"/>
      <c r="F34" s="77"/>
      <c r="G34" s="77"/>
      <c r="H34" s="77"/>
      <c r="I34" s="172"/>
      <c r="J34" s="77"/>
      <c r="K34" s="171"/>
      <c r="L34" s="77"/>
      <c r="M34" s="77"/>
      <c r="N34" s="172"/>
      <c r="O34" s="172"/>
      <c r="P34" s="77"/>
      <c r="Q34" s="171"/>
      <c r="R34" s="171">
        <f t="shared" si="0"/>
        <v>0</v>
      </c>
      <c r="S34" s="171"/>
      <c r="T34" s="171"/>
      <c r="U34" s="171"/>
      <c r="V34" s="171">
        <f t="shared" si="1"/>
        <v>0</v>
      </c>
      <c r="W34" s="77"/>
      <c r="X34" s="172"/>
      <c r="Y34" s="172"/>
      <c r="Z34" s="77"/>
      <c r="AA34" s="77"/>
      <c r="AB34" s="171"/>
      <c r="AC34" s="171">
        <f t="shared" si="2"/>
        <v>0</v>
      </c>
      <c r="AD34" s="77"/>
      <c r="AE34" s="77"/>
      <c r="AF34" s="172"/>
      <c r="AG34" s="80"/>
      <c r="AH34" s="80"/>
      <c r="AI34" s="77"/>
      <c r="AJ34" s="77"/>
      <c r="AK34" s="77"/>
      <c r="AL34" s="77"/>
      <c r="AM34" s="172"/>
      <c r="AN34" s="172"/>
      <c r="AO34" s="77"/>
      <c r="AP34" s="77"/>
      <c r="AQ34" s="77"/>
      <c r="AR34" s="77"/>
      <c r="AS34" s="77"/>
      <c r="AT34" s="77"/>
      <c r="AU34" s="171"/>
      <c r="AV34" s="171">
        <f t="shared" si="3"/>
        <v>0</v>
      </c>
      <c r="AW34" s="171">
        <f t="shared" si="4"/>
        <v>0</v>
      </c>
    </row>
    <row r="35" spans="1:49" x14ac:dyDescent="0.45">
      <c r="A35" s="78">
        <v>26</v>
      </c>
      <c r="B35" s="77"/>
      <c r="C35" s="77"/>
      <c r="D35" s="172"/>
      <c r="E35" s="77"/>
      <c r="F35" s="77"/>
      <c r="G35" s="77"/>
      <c r="H35" s="77"/>
      <c r="I35" s="172"/>
      <c r="J35" s="77"/>
      <c r="K35" s="171"/>
      <c r="L35" s="77"/>
      <c r="M35" s="77"/>
      <c r="N35" s="172"/>
      <c r="O35" s="172"/>
      <c r="P35" s="77"/>
      <c r="Q35" s="171"/>
      <c r="R35" s="171">
        <f t="shared" si="0"/>
        <v>0</v>
      </c>
      <c r="S35" s="171"/>
      <c r="T35" s="171"/>
      <c r="U35" s="171"/>
      <c r="V35" s="171">
        <f t="shared" si="1"/>
        <v>0</v>
      </c>
      <c r="W35" s="77"/>
      <c r="X35" s="172"/>
      <c r="Y35" s="172"/>
      <c r="Z35" s="77"/>
      <c r="AA35" s="77"/>
      <c r="AB35" s="171"/>
      <c r="AC35" s="171">
        <f t="shared" si="2"/>
        <v>0</v>
      </c>
      <c r="AD35" s="77"/>
      <c r="AE35" s="77"/>
      <c r="AF35" s="172"/>
      <c r="AG35" s="80"/>
      <c r="AH35" s="80"/>
      <c r="AI35" s="77"/>
      <c r="AJ35" s="77"/>
      <c r="AK35" s="77"/>
      <c r="AL35" s="77"/>
      <c r="AM35" s="172"/>
      <c r="AN35" s="172"/>
      <c r="AO35" s="77"/>
      <c r="AP35" s="77"/>
      <c r="AQ35" s="77"/>
      <c r="AR35" s="77"/>
      <c r="AS35" s="77"/>
      <c r="AT35" s="77"/>
      <c r="AU35" s="171"/>
      <c r="AV35" s="171">
        <f t="shared" si="3"/>
        <v>0</v>
      </c>
      <c r="AW35" s="171">
        <f t="shared" si="4"/>
        <v>0</v>
      </c>
    </row>
    <row r="36" spans="1:49" x14ac:dyDescent="0.45">
      <c r="A36" s="78">
        <v>27</v>
      </c>
      <c r="B36" s="77"/>
      <c r="C36" s="77"/>
      <c r="D36" s="172"/>
      <c r="E36" s="77"/>
      <c r="F36" s="77"/>
      <c r="G36" s="77"/>
      <c r="H36" s="77"/>
      <c r="I36" s="172"/>
      <c r="J36" s="77"/>
      <c r="K36" s="171"/>
      <c r="L36" s="77"/>
      <c r="M36" s="77"/>
      <c r="N36" s="172"/>
      <c r="O36" s="172"/>
      <c r="P36" s="77"/>
      <c r="Q36" s="171"/>
      <c r="R36" s="171">
        <f t="shared" si="0"/>
        <v>0</v>
      </c>
      <c r="S36" s="171"/>
      <c r="T36" s="171"/>
      <c r="U36" s="171"/>
      <c r="V36" s="171">
        <f t="shared" si="1"/>
        <v>0</v>
      </c>
      <c r="W36" s="77"/>
      <c r="X36" s="172"/>
      <c r="Y36" s="172"/>
      <c r="Z36" s="77"/>
      <c r="AA36" s="77"/>
      <c r="AB36" s="171"/>
      <c r="AC36" s="171">
        <f t="shared" si="2"/>
        <v>0</v>
      </c>
      <c r="AD36" s="77"/>
      <c r="AE36" s="77"/>
      <c r="AF36" s="172"/>
      <c r="AG36" s="80"/>
      <c r="AH36" s="80"/>
      <c r="AI36" s="77"/>
      <c r="AJ36" s="77"/>
      <c r="AK36" s="77"/>
      <c r="AL36" s="77"/>
      <c r="AM36" s="172"/>
      <c r="AN36" s="172"/>
      <c r="AO36" s="77"/>
      <c r="AP36" s="77"/>
      <c r="AQ36" s="77"/>
      <c r="AR36" s="77"/>
      <c r="AS36" s="77"/>
      <c r="AT36" s="77"/>
      <c r="AU36" s="171"/>
      <c r="AV36" s="171">
        <f t="shared" si="3"/>
        <v>0</v>
      </c>
      <c r="AW36" s="171">
        <f t="shared" si="4"/>
        <v>0</v>
      </c>
    </row>
    <row r="37" spans="1:49" x14ac:dyDescent="0.45">
      <c r="A37" s="78">
        <v>28</v>
      </c>
      <c r="B37" s="77"/>
      <c r="C37" s="77"/>
      <c r="D37" s="172"/>
      <c r="E37" s="77"/>
      <c r="F37" s="77"/>
      <c r="G37" s="77"/>
      <c r="H37" s="77"/>
      <c r="I37" s="172"/>
      <c r="J37" s="77"/>
      <c r="K37" s="171"/>
      <c r="L37" s="77"/>
      <c r="M37" s="77"/>
      <c r="N37" s="172"/>
      <c r="O37" s="172"/>
      <c r="P37" s="77"/>
      <c r="Q37" s="171"/>
      <c r="R37" s="171">
        <f t="shared" si="0"/>
        <v>0</v>
      </c>
      <c r="S37" s="171"/>
      <c r="T37" s="171"/>
      <c r="U37" s="171"/>
      <c r="V37" s="171">
        <f t="shared" si="1"/>
        <v>0</v>
      </c>
      <c r="W37" s="77"/>
      <c r="X37" s="172"/>
      <c r="Y37" s="172"/>
      <c r="Z37" s="77"/>
      <c r="AA37" s="77"/>
      <c r="AB37" s="171"/>
      <c r="AC37" s="171">
        <f t="shared" si="2"/>
        <v>0</v>
      </c>
      <c r="AD37" s="77"/>
      <c r="AE37" s="77"/>
      <c r="AF37" s="172"/>
      <c r="AG37" s="80"/>
      <c r="AH37" s="80"/>
      <c r="AI37" s="77"/>
      <c r="AJ37" s="77"/>
      <c r="AK37" s="77"/>
      <c r="AL37" s="77"/>
      <c r="AM37" s="172"/>
      <c r="AN37" s="172"/>
      <c r="AO37" s="77"/>
      <c r="AP37" s="77"/>
      <c r="AQ37" s="77"/>
      <c r="AR37" s="77"/>
      <c r="AS37" s="77"/>
      <c r="AT37" s="77"/>
      <c r="AU37" s="171"/>
      <c r="AV37" s="171">
        <f t="shared" si="3"/>
        <v>0</v>
      </c>
      <c r="AW37" s="171">
        <f t="shared" si="4"/>
        <v>0</v>
      </c>
    </row>
    <row r="38" spans="1:49" x14ac:dyDescent="0.45">
      <c r="A38" s="78">
        <v>29</v>
      </c>
      <c r="B38" s="77"/>
      <c r="C38" s="77"/>
      <c r="D38" s="172"/>
      <c r="E38" s="77"/>
      <c r="F38" s="77"/>
      <c r="G38" s="77"/>
      <c r="H38" s="77"/>
      <c r="I38" s="172"/>
      <c r="J38" s="77"/>
      <c r="K38" s="171"/>
      <c r="L38" s="77"/>
      <c r="M38" s="77"/>
      <c r="N38" s="172"/>
      <c r="O38" s="172"/>
      <c r="P38" s="77"/>
      <c r="Q38" s="171"/>
      <c r="R38" s="171">
        <f t="shared" si="0"/>
        <v>0</v>
      </c>
      <c r="S38" s="171"/>
      <c r="T38" s="171"/>
      <c r="U38" s="171"/>
      <c r="V38" s="171">
        <f t="shared" si="1"/>
        <v>0</v>
      </c>
      <c r="W38" s="77"/>
      <c r="X38" s="172"/>
      <c r="Y38" s="172"/>
      <c r="Z38" s="77"/>
      <c r="AA38" s="77"/>
      <c r="AB38" s="171"/>
      <c r="AC38" s="171">
        <f t="shared" si="2"/>
        <v>0</v>
      </c>
      <c r="AD38" s="77"/>
      <c r="AE38" s="77"/>
      <c r="AF38" s="172"/>
      <c r="AG38" s="80"/>
      <c r="AH38" s="80"/>
      <c r="AI38" s="77"/>
      <c r="AJ38" s="77"/>
      <c r="AK38" s="77"/>
      <c r="AL38" s="77"/>
      <c r="AM38" s="172"/>
      <c r="AN38" s="172"/>
      <c r="AO38" s="77"/>
      <c r="AP38" s="77"/>
      <c r="AQ38" s="77"/>
      <c r="AR38" s="77"/>
      <c r="AS38" s="77"/>
      <c r="AT38" s="77"/>
      <c r="AU38" s="171"/>
      <c r="AV38" s="171">
        <f t="shared" si="3"/>
        <v>0</v>
      </c>
      <c r="AW38" s="171">
        <f t="shared" si="4"/>
        <v>0</v>
      </c>
    </row>
    <row r="39" spans="1:49" x14ac:dyDescent="0.45">
      <c r="A39" s="78">
        <v>30</v>
      </c>
      <c r="B39" s="77"/>
      <c r="C39" s="77"/>
      <c r="D39" s="172"/>
      <c r="E39" s="77"/>
      <c r="F39" s="77"/>
      <c r="G39" s="77"/>
      <c r="H39" s="77"/>
      <c r="I39" s="172"/>
      <c r="J39" s="77"/>
      <c r="K39" s="171"/>
      <c r="L39" s="77"/>
      <c r="M39" s="77"/>
      <c r="N39" s="172"/>
      <c r="O39" s="172"/>
      <c r="P39" s="77"/>
      <c r="Q39" s="171"/>
      <c r="R39" s="171">
        <f t="shared" si="0"/>
        <v>0</v>
      </c>
      <c r="S39" s="171"/>
      <c r="T39" s="171"/>
      <c r="U39" s="171"/>
      <c r="V39" s="171">
        <f t="shared" si="1"/>
        <v>0</v>
      </c>
      <c r="W39" s="77"/>
      <c r="X39" s="172"/>
      <c r="Y39" s="172"/>
      <c r="Z39" s="77"/>
      <c r="AA39" s="77"/>
      <c r="AB39" s="171"/>
      <c r="AC39" s="171">
        <f t="shared" si="2"/>
        <v>0</v>
      </c>
      <c r="AD39" s="77"/>
      <c r="AE39" s="77"/>
      <c r="AF39" s="172"/>
      <c r="AG39" s="80"/>
      <c r="AH39" s="80"/>
      <c r="AI39" s="77"/>
      <c r="AJ39" s="77"/>
      <c r="AK39" s="77"/>
      <c r="AL39" s="77"/>
      <c r="AM39" s="172"/>
      <c r="AN39" s="172"/>
      <c r="AO39" s="77"/>
      <c r="AP39" s="77"/>
      <c r="AQ39" s="77"/>
      <c r="AR39" s="77"/>
      <c r="AS39" s="77"/>
      <c r="AT39" s="77"/>
      <c r="AU39" s="171"/>
      <c r="AV39" s="171">
        <f t="shared" si="3"/>
        <v>0</v>
      </c>
      <c r="AW39" s="171">
        <f t="shared" si="4"/>
        <v>0</v>
      </c>
    </row>
    <row r="40" spans="1:49" x14ac:dyDescent="0.45">
      <c r="A40" s="78">
        <v>31</v>
      </c>
      <c r="B40" s="77"/>
      <c r="C40" s="77"/>
      <c r="D40" s="172"/>
      <c r="E40" s="77"/>
      <c r="F40" s="77"/>
      <c r="G40" s="77"/>
      <c r="H40" s="77"/>
      <c r="I40" s="172"/>
      <c r="J40" s="77"/>
      <c r="K40" s="171"/>
      <c r="L40" s="77"/>
      <c r="M40" s="77"/>
      <c r="N40" s="172"/>
      <c r="O40" s="172"/>
      <c r="P40" s="77"/>
      <c r="Q40" s="171"/>
      <c r="R40" s="171">
        <f t="shared" si="0"/>
        <v>0</v>
      </c>
      <c r="S40" s="171"/>
      <c r="T40" s="171"/>
      <c r="U40" s="171"/>
      <c r="V40" s="171">
        <f t="shared" si="1"/>
        <v>0</v>
      </c>
      <c r="W40" s="77"/>
      <c r="X40" s="172"/>
      <c r="Y40" s="172"/>
      <c r="Z40" s="77"/>
      <c r="AA40" s="77"/>
      <c r="AB40" s="171"/>
      <c r="AC40" s="171">
        <f t="shared" si="2"/>
        <v>0</v>
      </c>
      <c r="AD40" s="77"/>
      <c r="AE40" s="77"/>
      <c r="AF40" s="172"/>
      <c r="AG40" s="80"/>
      <c r="AH40" s="80"/>
      <c r="AI40" s="77"/>
      <c r="AJ40" s="77"/>
      <c r="AK40" s="77"/>
      <c r="AL40" s="77"/>
      <c r="AM40" s="172"/>
      <c r="AN40" s="172"/>
      <c r="AO40" s="77"/>
      <c r="AP40" s="77"/>
      <c r="AQ40" s="77"/>
      <c r="AR40" s="77"/>
      <c r="AS40" s="77"/>
      <c r="AT40" s="77"/>
      <c r="AU40" s="171"/>
      <c r="AV40" s="171">
        <f t="shared" si="3"/>
        <v>0</v>
      </c>
      <c r="AW40" s="171">
        <f t="shared" si="4"/>
        <v>0</v>
      </c>
    </row>
    <row r="41" spans="1:49" x14ac:dyDescent="0.45">
      <c r="A41" s="78">
        <v>32</v>
      </c>
      <c r="B41" s="77"/>
      <c r="C41" s="77"/>
      <c r="D41" s="172"/>
      <c r="E41" s="77"/>
      <c r="F41" s="77"/>
      <c r="G41" s="77"/>
      <c r="H41" s="77"/>
      <c r="I41" s="172"/>
      <c r="J41" s="77"/>
      <c r="K41" s="171"/>
      <c r="L41" s="77"/>
      <c r="M41" s="77"/>
      <c r="N41" s="172"/>
      <c r="O41" s="172"/>
      <c r="P41" s="77"/>
      <c r="Q41" s="171"/>
      <c r="R41" s="171">
        <f t="shared" si="0"/>
        <v>0</v>
      </c>
      <c r="S41" s="171"/>
      <c r="T41" s="171"/>
      <c r="U41" s="171"/>
      <c r="V41" s="171">
        <f t="shared" si="1"/>
        <v>0</v>
      </c>
      <c r="W41" s="77"/>
      <c r="X41" s="172"/>
      <c r="Y41" s="172"/>
      <c r="Z41" s="77"/>
      <c r="AA41" s="77"/>
      <c r="AB41" s="171"/>
      <c r="AC41" s="171">
        <f t="shared" si="2"/>
        <v>0</v>
      </c>
      <c r="AD41" s="77"/>
      <c r="AE41" s="77"/>
      <c r="AF41" s="172"/>
      <c r="AG41" s="80"/>
      <c r="AH41" s="80"/>
      <c r="AI41" s="77"/>
      <c r="AJ41" s="77"/>
      <c r="AK41" s="77"/>
      <c r="AL41" s="77"/>
      <c r="AM41" s="172"/>
      <c r="AN41" s="172"/>
      <c r="AO41" s="77"/>
      <c r="AP41" s="77"/>
      <c r="AQ41" s="77"/>
      <c r="AR41" s="77"/>
      <c r="AS41" s="77"/>
      <c r="AT41" s="77"/>
      <c r="AU41" s="171"/>
      <c r="AV41" s="171">
        <f t="shared" si="3"/>
        <v>0</v>
      </c>
      <c r="AW41" s="171">
        <f t="shared" si="4"/>
        <v>0</v>
      </c>
    </row>
    <row r="42" spans="1:49" x14ac:dyDescent="0.45">
      <c r="A42" s="78">
        <v>33</v>
      </c>
      <c r="B42" s="77"/>
      <c r="C42" s="77"/>
      <c r="D42" s="172"/>
      <c r="E42" s="77"/>
      <c r="F42" s="77"/>
      <c r="G42" s="77"/>
      <c r="H42" s="77"/>
      <c r="I42" s="172"/>
      <c r="J42" s="77"/>
      <c r="K42" s="171"/>
      <c r="L42" s="77"/>
      <c r="M42" s="77"/>
      <c r="N42" s="172"/>
      <c r="O42" s="172"/>
      <c r="P42" s="77"/>
      <c r="Q42" s="171"/>
      <c r="R42" s="171">
        <f t="shared" si="0"/>
        <v>0</v>
      </c>
      <c r="S42" s="171"/>
      <c r="T42" s="171"/>
      <c r="U42" s="171"/>
      <c r="V42" s="171">
        <f t="shared" si="1"/>
        <v>0</v>
      </c>
      <c r="W42" s="77"/>
      <c r="X42" s="172"/>
      <c r="Y42" s="172"/>
      <c r="Z42" s="77"/>
      <c r="AA42" s="77"/>
      <c r="AB42" s="171"/>
      <c r="AC42" s="171">
        <f t="shared" si="2"/>
        <v>0</v>
      </c>
      <c r="AD42" s="77"/>
      <c r="AE42" s="77"/>
      <c r="AF42" s="172"/>
      <c r="AG42" s="80"/>
      <c r="AH42" s="80"/>
      <c r="AI42" s="77"/>
      <c r="AJ42" s="77"/>
      <c r="AK42" s="77"/>
      <c r="AL42" s="77"/>
      <c r="AM42" s="172"/>
      <c r="AN42" s="172"/>
      <c r="AO42" s="77"/>
      <c r="AP42" s="77"/>
      <c r="AQ42" s="77"/>
      <c r="AR42" s="77"/>
      <c r="AS42" s="77"/>
      <c r="AT42" s="77"/>
      <c r="AU42" s="171"/>
      <c r="AV42" s="171">
        <f t="shared" si="3"/>
        <v>0</v>
      </c>
      <c r="AW42" s="171">
        <f t="shared" si="4"/>
        <v>0</v>
      </c>
    </row>
  </sheetData>
  <mergeCells count="43">
    <mergeCell ref="J1:Z1"/>
    <mergeCell ref="J2:Z2"/>
    <mergeCell ref="J3:Z3"/>
    <mergeCell ref="AD7:AD8"/>
    <mergeCell ref="S5:AV5"/>
    <mergeCell ref="H5:H8"/>
    <mergeCell ref="A5:A8"/>
    <mergeCell ref="P7:P8"/>
    <mergeCell ref="G5:G8"/>
    <mergeCell ref="F5:F8"/>
    <mergeCell ref="E5:E8"/>
    <mergeCell ref="D5:D8"/>
    <mergeCell ref="C5:C8"/>
    <mergeCell ref="B5:B8"/>
    <mergeCell ref="M5:M8"/>
    <mergeCell ref="AW5:AW8"/>
    <mergeCell ref="N5:O6"/>
    <mergeCell ref="P5:R6"/>
    <mergeCell ref="AF7:AM7"/>
    <mergeCell ref="AB7:AB8"/>
    <mergeCell ref="AC7:AC8"/>
    <mergeCell ref="S6:V6"/>
    <mergeCell ref="V7:V8"/>
    <mergeCell ref="W6:AC6"/>
    <mergeCell ref="W7:W8"/>
    <mergeCell ref="X7:X8"/>
    <mergeCell ref="Y7:Y8"/>
    <mergeCell ref="Z7:Z8"/>
    <mergeCell ref="R7:R8"/>
    <mergeCell ref="Q7:Q8"/>
    <mergeCell ref="N7:O7"/>
    <mergeCell ref="L5:L8"/>
    <mergeCell ref="K5:K8"/>
    <mergeCell ref="J5:J8"/>
    <mergeCell ref="I5:I8"/>
    <mergeCell ref="U7:U8"/>
    <mergeCell ref="AV6:AV8"/>
    <mergeCell ref="S7:S8"/>
    <mergeCell ref="T7:T8"/>
    <mergeCell ref="AE7:AE8"/>
    <mergeCell ref="AA7:AA8"/>
    <mergeCell ref="AD6:AU6"/>
    <mergeCell ref="AN7:AU7"/>
  </mergeCells>
  <pageMargins left="0.7" right="0.7" top="0.75" bottom="0.75" header="0.3" footer="0.3"/>
  <pageSetup paperSize="9" scale="2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49CB-0DB6-4860-BA85-E3C508BFFF2D}">
  <dimension ref="A1:AD42"/>
  <sheetViews>
    <sheetView view="pageBreakPreview" zoomScale="70" zoomScaleNormal="100" zoomScaleSheetLayoutView="7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H20" sqref="H20"/>
    </sheetView>
  </sheetViews>
  <sheetFormatPr defaultRowHeight="14.25" x14ac:dyDescent="0.45"/>
  <cols>
    <col min="1" max="1" width="5.73046875" customWidth="1"/>
    <col min="2" max="2" width="20" customWidth="1"/>
    <col min="6" max="6" width="25.73046875" bestFit="1" customWidth="1"/>
    <col min="9" max="9" width="12.265625" customWidth="1"/>
    <col min="10" max="10" width="28.73046875" customWidth="1"/>
    <col min="19" max="19" width="15.73046875" bestFit="1" customWidth="1"/>
    <col min="20" max="20" width="11.73046875" bestFit="1" customWidth="1"/>
    <col min="21" max="21" width="10.1328125" customWidth="1"/>
    <col min="22" max="22" width="16.1328125" bestFit="1" customWidth="1"/>
    <col min="23" max="29" width="16.1328125" customWidth="1"/>
    <col min="30" max="30" width="13.265625" bestFit="1" customWidth="1"/>
  </cols>
  <sheetData>
    <row r="1" spans="1:30" x14ac:dyDescent="0.35">
      <c r="J1" s="161" t="s">
        <v>112</v>
      </c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D1" s="81" t="s">
        <v>107</v>
      </c>
    </row>
    <row r="2" spans="1:30" x14ac:dyDescent="0.35">
      <c r="J2" s="161" t="s">
        <v>109</v>
      </c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D2" s="81"/>
    </row>
    <row r="3" spans="1:30" x14ac:dyDescent="0.35">
      <c r="J3" s="161" t="s">
        <v>108</v>
      </c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</row>
    <row r="4" spans="1:30" x14ac:dyDescent="0.35"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30" ht="14.45" customHeight="1" x14ac:dyDescent="0.45">
      <c r="A5" s="138" t="s">
        <v>57</v>
      </c>
      <c r="B5" s="138" t="s">
        <v>106</v>
      </c>
      <c r="C5" s="138" t="s">
        <v>58</v>
      </c>
      <c r="D5" s="138" t="s">
        <v>59</v>
      </c>
      <c r="E5" s="138" t="s">
        <v>60</v>
      </c>
      <c r="F5" s="138" t="s">
        <v>61</v>
      </c>
      <c r="G5" s="138" t="s">
        <v>7</v>
      </c>
      <c r="H5" s="138" t="s">
        <v>62</v>
      </c>
      <c r="I5" s="138" t="s">
        <v>63</v>
      </c>
      <c r="J5" s="138" t="s">
        <v>64</v>
      </c>
      <c r="K5" s="138" t="s">
        <v>65</v>
      </c>
      <c r="L5" s="138" t="s">
        <v>66</v>
      </c>
      <c r="M5" s="166" t="s">
        <v>67</v>
      </c>
      <c r="N5" s="142" t="s">
        <v>14</v>
      </c>
      <c r="O5" s="143"/>
      <c r="P5" s="146" t="s">
        <v>17</v>
      </c>
      <c r="Q5" s="147"/>
      <c r="R5" s="148"/>
      <c r="S5" s="162" t="s">
        <v>68</v>
      </c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39" t="s">
        <v>88</v>
      </c>
    </row>
    <row r="6" spans="1:30" ht="14.45" customHeight="1" x14ac:dyDescent="0.45">
      <c r="A6" s="138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67"/>
      <c r="N6" s="144"/>
      <c r="O6" s="145"/>
      <c r="P6" s="149"/>
      <c r="Q6" s="150"/>
      <c r="R6" s="151"/>
      <c r="S6" s="154" t="s">
        <v>69</v>
      </c>
      <c r="T6" s="155"/>
      <c r="U6" s="155"/>
      <c r="V6" s="156"/>
      <c r="W6" s="157" t="s">
        <v>70</v>
      </c>
      <c r="X6" s="158"/>
      <c r="Y6" s="158"/>
      <c r="Z6" s="158"/>
      <c r="AA6" s="158"/>
      <c r="AB6" s="158"/>
      <c r="AC6" s="159"/>
      <c r="AD6" s="140"/>
    </row>
    <row r="7" spans="1:30" ht="14.45" customHeight="1" x14ac:dyDescent="0.45">
      <c r="A7" s="138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67"/>
      <c r="N7" s="138" t="s">
        <v>40</v>
      </c>
      <c r="O7" s="138"/>
      <c r="P7" s="165" t="s">
        <v>23</v>
      </c>
      <c r="Q7" s="160" t="s">
        <v>71</v>
      </c>
      <c r="R7" s="160" t="s">
        <v>25</v>
      </c>
      <c r="S7" s="126" t="s">
        <v>72</v>
      </c>
      <c r="T7" s="126" t="s">
        <v>27</v>
      </c>
      <c r="U7" s="126" t="s">
        <v>28</v>
      </c>
      <c r="V7" s="126" t="s">
        <v>73</v>
      </c>
      <c r="W7" s="130" t="s">
        <v>29</v>
      </c>
      <c r="X7" s="130" t="s">
        <v>74</v>
      </c>
      <c r="Y7" s="130" t="s">
        <v>75</v>
      </c>
      <c r="Z7" s="130" t="s">
        <v>31</v>
      </c>
      <c r="AA7" s="130" t="s">
        <v>76</v>
      </c>
      <c r="AB7" s="130" t="s">
        <v>32</v>
      </c>
      <c r="AC7" s="152" t="s">
        <v>33</v>
      </c>
      <c r="AD7" s="140"/>
    </row>
    <row r="8" spans="1:30" ht="24.95" customHeight="1" x14ac:dyDescent="0.45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68"/>
      <c r="N8" s="79" t="s">
        <v>35</v>
      </c>
      <c r="O8" s="79" t="s">
        <v>78</v>
      </c>
      <c r="P8" s="165"/>
      <c r="Q8" s="160"/>
      <c r="R8" s="160"/>
      <c r="S8" s="127"/>
      <c r="T8" s="127"/>
      <c r="U8" s="127"/>
      <c r="V8" s="127"/>
      <c r="W8" s="131"/>
      <c r="X8" s="131"/>
      <c r="Y8" s="131"/>
      <c r="Z8" s="131"/>
      <c r="AA8" s="131"/>
      <c r="AB8" s="131"/>
      <c r="AC8" s="153"/>
      <c r="AD8" s="141"/>
    </row>
    <row r="9" spans="1:30" x14ac:dyDescent="0.35">
      <c r="A9" s="82">
        <v>1</v>
      </c>
      <c r="B9" s="82">
        <v>2</v>
      </c>
      <c r="C9" s="82">
        <v>3</v>
      </c>
      <c r="D9" s="82">
        <v>4</v>
      </c>
      <c r="E9" s="82">
        <v>5</v>
      </c>
      <c r="F9" s="82">
        <v>6</v>
      </c>
      <c r="G9" s="82">
        <v>7</v>
      </c>
      <c r="H9" s="82">
        <v>8</v>
      </c>
      <c r="I9" s="82">
        <v>9</v>
      </c>
      <c r="J9" s="82">
        <v>10</v>
      </c>
      <c r="K9" s="82">
        <v>11</v>
      </c>
      <c r="L9" s="82">
        <v>12</v>
      </c>
      <c r="M9" s="82">
        <v>13</v>
      </c>
      <c r="N9" s="82">
        <v>14</v>
      </c>
      <c r="O9" s="82">
        <v>15</v>
      </c>
      <c r="P9" s="82">
        <v>16</v>
      </c>
      <c r="Q9" s="82">
        <v>17</v>
      </c>
      <c r="R9" s="82" t="s">
        <v>83</v>
      </c>
      <c r="S9" s="82">
        <v>19</v>
      </c>
      <c r="T9" s="82">
        <v>20</v>
      </c>
      <c r="U9" s="82">
        <v>21</v>
      </c>
      <c r="V9" s="82" t="s">
        <v>84</v>
      </c>
      <c r="W9" s="82">
        <v>23</v>
      </c>
      <c r="X9" s="82">
        <v>24</v>
      </c>
      <c r="Y9" s="82">
        <v>25</v>
      </c>
      <c r="Z9" s="82">
        <v>26</v>
      </c>
      <c r="AA9" s="82">
        <v>27</v>
      </c>
      <c r="AB9" s="82">
        <v>28</v>
      </c>
      <c r="AC9" s="82" t="s">
        <v>85</v>
      </c>
      <c r="AD9" s="82" t="s">
        <v>87</v>
      </c>
    </row>
    <row r="10" spans="1:30" x14ac:dyDescent="0.45">
      <c r="A10" s="78">
        <v>1</v>
      </c>
      <c r="B10" s="77"/>
      <c r="C10" s="77"/>
      <c r="D10" s="172"/>
      <c r="E10" s="77"/>
      <c r="F10" s="77"/>
      <c r="G10" s="77"/>
      <c r="H10" s="77"/>
      <c r="I10" s="172"/>
      <c r="J10" s="77"/>
      <c r="K10" s="77"/>
      <c r="L10" s="77"/>
      <c r="M10" s="77"/>
      <c r="N10" s="77"/>
      <c r="O10" s="77"/>
      <c r="P10" s="77"/>
      <c r="Q10" s="171"/>
      <c r="R10" s="171">
        <f>P10*Q10</f>
        <v>0</v>
      </c>
      <c r="S10" s="77"/>
      <c r="T10" s="77"/>
      <c r="U10" s="77"/>
      <c r="V10" s="171">
        <f>S10+T10+U10</f>
        <v>0</v>
      </c>
      <c r="W10" s="77"/>
      <c r="X10" s="172"/>
      <c r="Y10" s="172"/>
      <c r="Z10" s="77"/>
      <c r="AA10" s="77"/>
      <c r="AB10" s="77"/>
      <c r="AC10" s="171">
        <f>Z10*AB10</f>
        <v>0</v>
      </c>
      <c r="AD10" s="171">
        <f>R10+V10+AC10</f>
        <v>0</v>
      </c>
    </row>
    <row r="11" spans="1:30" x14ac:dyDescent="0.45">
      <c r="A11" s="78">
        <v>2</v>
      </c>
      <c r="B11" s="77"/>
      <c r="C11" s="77"/>
      <c r="D11" s="172"/>
      <c r="E11" s="77"/>
      <c r="F11" s="77"/>
      <c r="G11" s="77"/>
      <c r="H11" s="77"/>
      <c r="I11" s="172"/>
      <c r="J11" s="77"/>
      <c r="K11" s="77"/>
      <c r="L11" s="77"/>
      <c r="M11" s="77"/>
      <c r="N11" s="77"/>
      <c r="O11" s="77"/>
      <c r="P11" s="77"/>
      <c r="Q11" s="171"/>
      <c r="R11" s="171">
        <f t="shared" ref="R11:R42" si="0">P11*Q11</f>
        <v>0</v>
      </c>
      <c r="S11" s="77"/>
      <c r="T11" s="77"/>
      <c r="U11" s="77"/>
      <c r="V11" s="171">
        <f t="shared" ref="V11:V42" si="1">S11+T11+U11</f>
        <v>0</v>
      </c>
      <c r="W11" s="77"/>
      <c r="X11" s="172"/>
      <c r="Y11" s="172"/>
      <c r="Z11" s="77"/>
      <c r="AA11" s="77"/>
      <c r="AB11" s="77"/>
      <c r="AC11" s="171">
        <f t="shared" ref="AC11:AC42" si="2">Z11*AB11</f>
        <v>0</v>
      </c>
      <c r="AD11" s="171">
        <f t="shared" ref="AD11:AD42" si="3">R11+V11+AC11</f>
        <v>0</v>
      </c>
    </row>
    <row r="12" spans="1:30" x14ac:dyDescent="0.45">
      <c r="A12" s="78">
        <v>3</v>
      </c>
      <c r="B12" s="77"/>
      <c r="C12" s="77"/>
      <c r="D12" s="172"/>
      <c r="E12" s="77"/>
      <c r="F12" s="77"/>
      <c r="G12" s="77"/>
      <c r="H12" s="77"/>
      <c r="I12" s="172"/>
      <c r="J12" s="77"/>
      <c r="K12" s="77"/>
      <c r="L12" s="77"/>
      <c r="M12" s="77"/>
      <c r="N12" s="77"/>
      <c r="O12" s="77"/>
      <c r="P12" s="77"/>
      <c r="Q12" s="171"/>
      <c r="R12" s="171">
        <f t="shared" si="0"/>
        <v>0</v>
      </c>
      <c r="S12" s="77"/>
      <c r="T12" s="77"/>
      <c r="U12" s="77"/>
      <c r="V12" s="171">
        <f t="shared" si="1"/>
        <v>0</v>
      </c>
      <c r="W12" s="77"/>
      <c r="X12" s="172"/>
      <c r="Y12" s="172"/>
      <c r="Z12" s="77"/>
      <c r="AA12" s="77"/>
      <c r="AB12" s="77"/>
      <c r="AC12" s="171">
        <f t="shared" si="2"/>
        <v>0</v>
      </c>
      <c r="AD12" s="171">
        <f t="shared" si="3"/>
        <v>0</v>
      </c>
    </row>
    <row r="13" spans="1:30" x14ac:dyDescent="0.45">
      <c r="A13" s="78">
        <v>4</v>
      </c>
      <c r="B13" s="77"/>
      <c r="C13" s="77"/>
      <c r="D13" s="172"/>
      <c r="E13" s="77"/>
      <c r="F13" s="77"/>
      <c r="G13" s="77"/>
      <c r="H13" s="77"/>
      <c r="I13" s="172"/>
      <c r="J13" s="77"/>
      <c r="K13" s="77"/>
      <c r="L13" s="77"/>
      <c r="M13" s="77"/>
      <c r="N13" s="77"/>
      <c r="O13" s="77"/>
      <c r="P13" s="77"/>
      <c r="Q13" s="171"/>
      <c r="R13" s="171">
        <f t="shared" si="0"/>
        <v>0</v>
      </c>
      <c r="S13" s="77"/>
      <c r="T13" s="77"/>
      <c r="U13" s="77"/>
      <c r="V13" s="171">
        <f t="shared" si="1"/>
        <v>0</v>
      </c>
      <c r="W13" s="77"/>
      <c r="X13" s="172"/>
      <c r="Y13" s="172"/>
      <c r="Z13" s="77"/>
      <c r="AA13" s="77"/>
      <c r="AB13" s="77"/>
      <c r="AC13" s="171">
        <f t="shared" si="2"/>
        <v>0</v>
      </c>
      <c r="AD13" s="171">
        <f t="shared" si="3"/>
        <v>0</v>
      </c>
    </row>
    <row r="14" spans="1:30" x14ac:dyDescent="0.45">
      <c r="A14" s="78">
        <v>5</v>
      </c>
      <c r="B14" s="77"/>
      <c r="C14" s="77"/>
      <c r="D14" s="172"/>
      <c r="E14" s="77"/>
      <c r="F14" s="77"/>
      <c r="G14" s="77"/>
      <c r="H14" s="77"/>
      <c r="I14" s="172"/>
      <c r="J14" s="77"/>
      <c r="K14" s="77"/>
      <c r="L14" s="77"/>
      <c r="M14" s="77"/>
      <c r="N14" s="77"/>
      <c r="O14" s="77"/>
      <c r="P14" s="77"/>
      <c r="Q14" s="171"/>
      <c r="R14" s="171">
        <f t="shared" si="0"/>
        <v>0</v>
      </c>
      <c r="S14" s="77"/>
      <c r="T14" s="77"/>
      <c r="U14" s="77"/>
      <c r="V14" s="171">
        <f t="shared" si="1"/>
        <v>0</v>
      </c>
      <c r="W14" s="77"/>
      <c r="X14" s="172"/>
      <c r="Y14" s="172"/>
      <c r="Z14" s="77"/>
      <c r="AA14" s="77"/>
      <c r="AB14" s="77"/>
      <c r="AC14" s="171">
        <f t="shared" si="2"/>
        <v>0</v>
      </c>
      <c r="AD14" s="171">
        <f t="shared" si="3"/>
        <v>0</v>
      </c>
    </row>
    <row r="15" spans="1:30" x14ac:dyDescent="0.45">
      <c r="A15" s="78">
        <v>6</v>
      </c>
      <c r="B15" s="77"/>
      <c r="C15" s="77"/>
      <c r="D15" s="172"/>
      <c r="E15" s="77"/>
      <c r="F15" s="77"/>
      <c r="G15" s="77"/>
      <c r="H15" s="77"/>
      <c r="I15" s="172"/>
      <c r="J15" s="77"/>
      <c r="K15" s="77"/>
      <c r="L15" s="77"/>
      <c r="M15" s="77"/>
      <c r="N15" s="77"/>
      <c r="O15" s="77"/>
      <c r="P15" s="77"/>
      <c r="Q15" s="171"/>
      <c r="R15" s="171">
        <f t="shared" si="0"/>
        <v>0</v>
      </c>
      <c r="S15" s="77"/>
      <c r="T15" s="77"/>
      <c r="U15" s="77"/>
      <c r="V15" s="171">
        <f t="shared" si="1"/>
        <v>0</v>
      </c>
      <c r="W15" s="77"/>
      <c r="X15" s="172"/>
      <c r="Y15" s="172"/>
      <c r="Z15" s="77"/>
      <c r="AA15" s="77"/>
      <c r="AB15" s="77"/>
      <c r="AC15" s="171">
        <f t="shared" si="2"/>
        <v>0</v>
      </c>
      <c r="AD15" s="171">
        <f t="shared" si="3"/>
        <v>0</v>
      </c>
    </row>
    <row r="16" spans="1:30" x14ac:dyDescent="0.45">
      <c r="A16" s="78">
        <v>7</v>
      </c>
      <c r="B16" s="77"/>
      <c r="C16" s="77"/>
      <c r="D16" s="172"/>
      <c r="E16" s="77"/>
      <c r="F16" s="77"/>
      <c r="G16" s="77"/>
      <c r="H16" s="77"/>
      <c r="I16" s="172"/>
      <c r="J16" s="77"/>
      <c r="K16" s="77"/>
      <c r="L16" s="77"/>
      <c r="M16" s="77"/>
      <c r="N16" s="77"/>
      <c r="O16" s="77"/>
      <c r="P16" s="77"/>
      <c r="Q16" s="171"/>
      <c r="R16" s="171">
        <f t="shared" si="0"/>
        <v>0</v>
      </c>
      <c r="S16" s="77"/>
      <c r="T16" s="77"/>
      <c r="U16" s="77"/>
      <c r="V16" s="171">
        <f t="shared" si="1"/>
        <v>0</v>
      </c>
      <c r="W16" s="77"/>
      <c r="X16" s="172"/>
      <c r="Y16" s="172"/>
      <c r="Z16" s="77"/>
      <c r="AA16" s="77"/>
      <c r="AB16" s="77"/>
      <c r="AC16" s="171">
        <f t="shared" si="2"/>
        <v>0</v>
      </c>
      <c r="AD16" s="171">
        <f t="shared" si="3"/>
        <v>0</v>
      </c>
    </row>
    <row r="17" spans="1:30" x14ac:dyDescent="0.45">
      <c r="A17" s="78">
        <v>8</v>
      </c>
      <c r="B17" s="77"/>
      <c r="C17" s="77"/>
      <c r="D17" s="172"/>
      <c r="E17" s="77"/>
      <c r="F17" s="77"/>
      <c r="G17" s="77"/>
      <c r="H17" s="77"/>
      <c r="I17" s="172"/>
      <c r="J17" s="77"/>
      <c r="K17" s="77"/>
      <c r="L17" s="77"/>
      <c r="M17" s="77"/>
      <c r="N17" s="77"/>
      <c r="O17" s="77"/>
      <c r="P17" s="77"/>
      <c r="Q17" s="171"/>
      <c r="R17" s="171">
        <f t="shared" si="0"/>
        <v>0</v>
      </c>
      <c r="S17" s="77"/>
      <c r="T17" s="77"/>
      <c r="U17" s="77"/>
      <c r="V17" s="171">
        <f t="shared" si="1"/>
        <v>0</v>
      </c>
      <c r="W17" s="77"/>
      <c r="X17" s="172"/>
      <c r="Y17" s="172"/>
      <c r="Z17" s="77"/>
      <c r="AA17" s="77"/>
      <c r="AB17" s="77"/>
      <c r="AC17" s="171">
        <f t="shared" si="2"/>
        <v>0</v>
      </c>
      <c r="AD17" s="171">
        <f t="shared" si="3"/>
        <v>0</v>
      </c>
    </row>
    <row r="18" spans="1:30" x14ac:dyDescent="0.45">
      <c r="A18" s="78">
        <v>9</v>
      </c>
      <c r="B18" s="77"/>
      <c r="C18" s="77"/>
      <c r="D18" s="172"/>
      <c r="E18" s="77"/>
      <c r="F18" s="77"/>
      <c r="G18" s="77"/>
      <c r="H18" s="77"/>
      <c r="I18" s="172"/>
      <c r="J18" s="77"/>
      <c r="K18" s="77"/>
      <c r="L18" s="77"/>
      <c r="M18" s="77"/>
      <c r="N18" s="77"/>
      <c r="O18" s="77"/>
      <c r="P18" s="77"/>
      <c r="Q18" s="171"/>
      <c r="R18" s="171">
        <f t="shared" si="0"/>
        <v>0</v>
      </c>
      <c r="S18" s="77"/>
      <c r="T18" s="77"/>
      <c r="U18" s="77"/>
      <c r="V18" s="171">
        <f t="shared" si="1"/>
        <v>0</v>
      </c>
      <c r="W18" s="77"/>
      <c r="X18" s="172"/>
      <c r="Y18" s="172"/>
      <c r="Z18" s="77"/>
      <c r="AA18" s="77"/>
      <c r="AB18" s="77"/>
      <c r="AC18" s="171">
        <f t="shared" si="2"/>
        <v>0</v>
      </c>
      <c r="AD18" s="171">
        <f t="shared" si="3"/>
        <v>0</v>
      </c>
    </row>
    <row r="19" spans="1:30" x14ac:dyDescent="0.45">
      <c r="A19" s="78">
        <v>10</v>
      </c>
      <c r="B19" s="77"/>
      <c r="C19" s="77"/>
      <c r="D19" s="172"/>
      <c r="E19" s="77"/>
      <c r="F19" s="77"/>
      <c r="G19" s="77"/>
      <c r="H19" s="77"/>
      <c r="I19" s="172"/>
      <c r="J19" s="77"/>
      <c r="K19" s="77"/>
      <c r="L19" s="77"/>
      <c r="M19" s="77"/>
      <c r="N19" s="77"/>
      <c r="O19" s="77"/>
      <c r="P19" s="77"/>
      <c r="Q19" s="171"/>
      <c r="R19" s="171">
        <f t="shared" si="0"/>
        <v>0</v>
      </c>
      <c r="S19" s="77"/>
      <c r="T19" s="77"/>
      <c r="U19" s="77"/>
      <c r="V19" s="171">
        <f t="shared" si="1"/>
        <v>0</v>
      </c>
      <c r="W19" s="77"/>
      <c r="X19" s="172"/>
      <c r="Y19" s="172"/>
      <c r="Z19" s="77"/>
      <c r="AA19" s="77"/>
      <c r="AB19" s="77"/>
      <c r="AC19" s="171">
        <f t="shared" si="2"/>
        <v>0</v>
      </c>
      <c r="AD19" s="171">
        <f t="shared" si="3"/>
        <v>0</v>
      </c>
    </row>
    <row r="20" spans="1:30" x14ac:dyDescent="0.45">
      <c r="A20" s="78">
        <v>11</v>
      </c>
      <c r="B20" s="77"/>
      <c r="C20" s="77"/>
      <c r="D20" s="172"/>
      <c r="E20" s="77"/>
      <c r="F20" s="77"/>
      <c r="G20" s="77"/>
      <c r="H20" s="77"/>
      <c r="I20" s="172"/>
      <c r="J20" s="77"/>
      <c r="K20" s="77"/>
      <c r="L20" s="77"/>
      <c r="M20" s="77"/>
      <c r="N20" s="77"/>
      <c r="O20" s="77"/>
      <c r="P20" s="77"/>
      <c r="Q20" s="171"/>
      <c r="R20" s="171">
        <f t="shared" si="0"/>
        <v>0</v>
      </c>
      <c r="S20" s="77"/>
      <c r="T20" s="77"/>
      <c r="U20" s="77"/>
      <c r="V20" s="171">
        <f t="shared" si="1"/>
        <v>0</v>
      </c>
      <c r="W20" s="77"/>
      <c r="X20" s="172"/>
      <c r="Y20" s="172"/>
      <c r="Z20" s="77"/>
      <c r="AA20" s="77"/>
      <c r="AB20" s="77"/>
      <c r="AC20" s="171">
        <f t="shared" si="2"/>
        <v>0</v>
      </c>
      <c r="AD20" s="171">
        <f t="shared" si="3"/>
        <v>0</v>
      </c>
    </row>
    <row r="21" spans="1:30" x14ac:dyDescent="0.45">
      <c r="A21" s="78">
        <v>12</v>
      </c>
      <c r="B21" s="77"/>
      <c r="C21" s="77"/>
      <c r="D21" s="172"/>
      <c r="E21" s="77"/>
      <c r="F21" s="77"/>
      <c r="G21" s="77"/>
      <c r="H21" s="77"/>
      <c r="I21" s="172"/>
      <c r="J21" s="77"/>
      <c r="K21" s="77"/>
      <c r="L21" s="77"/>
      <c r="M21" s="77"/>
      <c r="N21" s="77"/>
      <c r="O21" s="77"/>
      <c r="P21" s="77"/>
      <c r="Q21" s="171"/>
      <c r="R21" s="171">
        <f t="shared" si="0"/>
        <v>0</v>
      </c>
      <c r="S21" s="77"/>
      <c r="T21" s="77"/>
      <c r="U21" s="77"/>
      <c r="V21" s="171">
        <f t="shared" si="1"/>
        <v>0</v>
      </c>
      <c r="W21" s="77"/>
      <c r="X21" s="172"/>
      <c r="Y21" s="172"/>
      <c r="Z21" s="77"/>
      <c r="AA21" s="77"/>
      <c r="AB21" s="77"/>
      <c r="AC21" s="171">
        <f t="shared" si="2"/>
        <v>0</v>
      </c>
      <c r="AD21" s="171">
        <f t="shared" si="3"/>
        <v>0</v>
      </c>
    </row>
    <row r="22" spans="1:30" x14ac:dyDescent="0.45">
      <c r="A22" s="78">
        <v>13</v>
      </c>
      <c r="B22" s="77"/>
      <c r="C22" s="77"/>
      <c r="D22" s="172"/>
      <c r="E22" s="77"/>
      <c r="F22" s="77"/>
      <c r="G22" s="77"/>
      <c r="H22" s="77"/>
      <c r="I22" s="172"/>
      <c r="J22" s="77"/>
      <c r="K22" s="77"/>
      <c r="L22" s="77"/>
      <c r="M22" s="77"/>
      <c r="N22" s="77"/>
      <c r="O22" s="77"/>
      <c r="P22" s="77"/>
      <c r="Q22" s="171"/>
      <c r="R22" s="171">
        <f t="shared" si="0"/>
        <v>0</v>
      </c>
      <c r="S22" s="77"/>
      <c r="T22" s="77"/>
      <c r="U22" s="77"/>
      <c r="V22" s="171">
        <f t="shared" si="1"/>
        <v>0</v>
      </c>
      <c r="W22" s="77"/>
      <c r="X22" s="172"/>
      <c r="Y22" s="172"/>
      <c r="Z22" s="77"/>
      <c r="AA22" s="77"/>
      <c r="AB22" s="77"/>
      <c r="AC22" s="171">
        <f t="shared" si="2"/>
        <v>0</v>
      </c>
      <c r="AD22" s="171">
        <f t="shared" si="3"/>
        <v>0</v>
      </c>
    </row>
    <row r="23" spans="1:30" x14ac:dyDescent="0.45">
      <c r="A23" s="78">
        <v>14</v>
      </c>
      <c r="B23" s="77"/>
      <c r="C23" s="77"/>
      <c r="D23" s="172"/>
      <c r="E23" s="77"/>
      <c r="F23" s="77"/>
      <c r="G23" s="77"/>
      <c r="H23" s="77"/>
      <c r="I23" s="172"/>
      <c r="J23" s="77"/>
      <c r="K23" s="77"/>
      <c r="L23" s="77"/>
      <c r="M23" s="77"/>
      <c r="N23" s="77"/>
      <c r="O23" s="77"/>
      <c r="P23" s="77"/>
      <c r="Q23" s="171"/>
      <c r="R23" s="171">
        <f t="shared" si="0"/>
        <v>0</v>
      </c>
      <c r="S23" s="77"/>
      <c r="T23" s="77"/>
      <c r="U23" s="77"/>
      <c r="V23" s="171">
        <f t="shared" si="1"/>
        <v>0</v>
      </c>
      <c r="W23" s="77"/>
      <c r="X23" s="172"/>
      <c r="Y23" s="172"/>
      <c r="Z23" s="77"/>
      <c r="AA23" s="77"/>
      <c r="AB23" s="77"/>
      <c r="AC23" s="171">
        <f t="shared" si="2"/>
        <v>0</v>
      </c>
      <c r="AD23" s="171">
        <f t="shared" si="3"/>
        <v>0</v>
      </c>
    </row>
    <row r="24" spans="1:30" x14ac:dyDescent="0.45">
      <c r="A24" s="78">
        <v>15</v>
      </c>
      <c r="B24" s="77"/>
      <c r="C24" s="77"/>
      <c r="D24" s="172"/>
      <c r="E24" s="77"/>
      <c r="F24" s="77"/>
      <c r="G24" s="77"/>
      <c r="H24" s="77"/>
      <c r="I24" s="172"/>
      <c r="J24" s="77"/>
      <c r="K24" s="77"/>
      <c r="L24" s="77"/>
      <c r="M24" s="77"/>
      <c r="N24" s="77"/>
      <c r="O24" s="77"/>
      <c r="P24" s="77"/>
      <c r="Q24" s="171"/>
      <c r="R24" s="171">
        <f t="shared" si="0"/>
        <v>0</v>
      </c>
      <c r="S24" s="77"/>
      <c r="T24" s="77"/>
      <c r="U24" s="77"/>
      <c r="V24" s="171">
        <f t="shared" si="1"/>
        <v>0</v>
      </c>
      <c r="W24" s="77"/>
      <c r="X24" s="172"/>
      <c r="Y24" s="172"/>
      <c r="Z24" s="77"/>
      <c r="AA24" s="77"/>
      <c r="AB24" s="77"/>
      <c r="AC24" s="171">
        <f t="shared" si="2"/>
        <v>0</v>
      </c>
      <c r="AD24" s="171">
        <f t="shared" si="3"/>
        <v>0</v>
      </c>
    </row>
    <row r="25" spans="1:30" x14ac:dyDescent="0.45">
      <c r="A25" s="78">
        <v>16</v>
      </c>
      <c r="B25" s="77"/>
      <c r="C25" s="77"/>
      <c r="D25" s="172"/>
      <c r="E25" s="77"/>
      <c r="F25" s="77"/>
      <c r="G25" s="77"/>
      <c r="H25" s="77"/>
      <c r="I25" s="172"/>
      <c r="J25" s="77"/>
      <c r="K25" s="77"/>
      <c r="L25" s="77"/>
      <c r="M25" s="77"/>
      <c r="N25" s="77"/>
      <c r="O25" s="77"/>
      <c r="P25" s="77"/>
      <c r="Q25" s="171"/>
      <c r="R25" s="171">
        <f t="shared" si="0"/>
        <v>0</v>
      </c>
      <c r="S25" s="77"/>
      <c r="T25" s="77"/>
      <c r="U25" s="77"/>
      <c r="V25" s="171">
        <f t="shared" si="1"/>
        <v>0</v>
      </c>
      <c r="W25" s="77"/>
      <c r="X25" s="172"/>
      <c r="Y25" s="172"/>
      <c r="Z25" s="77"/>
      <c r="AA25" s="77"/>
      <c r="AB25" s="77"/>
      <c r="AC25" s="171">
        <f t="shared" si="2"/>
        <v>0</v>
      </c>
      <c r="AD25" s="171">
        <f t="shared" si="3"/>
        <v>0</v>
      </c>
    </row>
    <row r="26" spans="1:30" x14ac:dyDescent="0.45">
      <c r="A26" s="78">
        <v>17</v>
      </c>
      <c r="B26" s="77"/>
      <c r="C26" s="77"/>
      <c r="D26" s="172"/>
      <c r="E26" s="77"/>
      <c r="F26" s="77"/>
      <c r="G26" s="77"/>
      <c r="H26" s="77"/>
      <c r="I26" s="172"/>
      <c r="J26" s="77"/>
      <c r="K26" s="77"/>
      <c r="L26" s="77"/>
      <c r="M26" s="77"/>
      <c r="N26" s="77"/>
      <c r="O26" s="77"/>
      <c r="P26" s="77"/>
      <c r="Q26" s="171"/>
      <c r="R26" s="171">
        <f t="shared" si="0"/>
        <v>0</v>
      </c>
      <c r="S26" s="77"/>
      <c r="T26" s="77"/>
      <c r="U26" s="77"/>
      <c r="V26" s="171">
        <f t="shared" si="1"/>
        <v>0</v>
      </c>
      <c r="W26" s="77"/>
      <c r="X26" s="172"/>
      <c r="Y26" s="172"/>
      <c r="Z26" s="77"/>
      <c r="AA26" s="77"/>
      <c r="AB26" s="77"/>
      <c r="AC26" s="171">
        <f t="shared" si="2"/>
        <v>0</v>
      </c>
      <c r="AD26" s="171">
        <f t="shared" si="3"/>
        <v>0</v>
      </c>
    </row>
    <row r="27" spans="1:30" x14ac:dyDescent="0.45">
      <c r="A27" s="78">
        <v>18</v>
      </c>
      <c r="B27" s="77"/>
      <c r="C27" s="77"/>
      <c r="D27" s="172"/>
      <c r="E27" s="77"/>
      <c r="F27" s="77"/>
      <c r="G27" s="77"/>
      <c r="H27" s="77"/>
      <c r="I27" s="172"/>
      <c r="J27" s="77"/>
      <c r="K27" s="77"/>
      <c r="L27" s="77"/>
      <c r="M27" s="77"/>
      <c r="N27" s="77"/>
      <c r="O27" s="77"/>
      <c r="P27" s="77"/>
      <c r="Q27" s="171"/>
      <c r="R27" s="171">
        <f t="shared" si="0"/>
        <v>0</v>
      </c>
      <c r="S27" s="77"/>
      <c r="T27" s="77"/>
      <c r="U27" s="77"/>
      <c r="V27" s="171">
        <f t="shared" si="1"/>
        <v>0</v>
      </c>
      <c r="W27" s="77"/>
      <c r="X27" s="172"/>
      <c r="Y27" s="172"/>
      <c r="Z27" s="77"/>
      <c r="AA27" s="77"/>
      <c r="AB27" s="77"/>
      <c r="AC27" s="171">
        <f t="shared" si="2"/>
        <v>0</v>
      </c>
      <c r="AD27" s="171">
        <f t="shared" si="3"/>
        <v>0</v>
      </c>
    </row>
    <row r="28" spans="1:30" x14ac:dyDescent="0.45">
      <c r="A28" s="78">
        <v>19</v>
      </c>
      <c r="B28" s="77"/>
      <c r="C28" s="77"/>
      <c r="D28" s="172"/>
      <c r="E28" s="77"/>
      <c r="F28" s="77"/>
      <c r="G28" s="77"/>
      <c r="H28" s="77"/>
      <c r="I28" s="172"/>
      <c r="J28" s="77"/>
      <c r="K28" s="77"/>
      <c r="L28" s="77"/>
      <c r="M28" s="77"/>
      <c r="N28" s="77"/>
      <c r="O28" s="77"/>
      <c r="P28" s="77"/>
      <c r="Q28" s="171"/>
      <c r="R28" s="171">
        <f t="shared" si="0"/>
        <v>0</v>
      </c>
      <c r="S28" s="77"/>
      <c r="T28" s="77"/>
      <c r="U28" s="77"/>
      <c r="V28" s="171">
        <f t="shared" si="1"/>
        <v>0</v>
      </c>
      <c r="W28" s="77"/>
      <c r="X28" s="172"/>
      <c r="Y28" s="172"/>
      <c r="Z28" s="77"/>
      <c r="AA28" s="77"/>
      <c r="AB28" s="77"/>
      <c r="AC28" s="171">
        <f t="shared" si="2"/>
        <v>0</v>
      </c>
      <c r="AD28" s="171">
        <f t="shared" si="3"/>
        <v>0</v>
      </c>
    </row>
    <row r="29" spans="1:30" x14ac:dyDescent="0.45">
      <c r="A29" s="78">
        <v>20</v>
      </c>
      <c r="B29" s="77"/>
      <c r="C29" s="77"/>
      <c r="D29" s="172"/>
      <c r="E29" s="77"/>
      <c r="F29" s="77"/>
      <c r="G29" s="77"/>
      <c r="H29" s="77"/>
      <c r="I29" s="172"/>
      <c r="J29" s="77"/>
      <c r="K29" s="77"/>
      <c r="L29" s="77"/>
      <c r="M29" s="77"/>
      <c r="N29" s="77"/>
      <c r="O29" s="77"/>
      <c r="P29" s="77"/>
      <c r="Q29" s="171"/>
      <c r="R29" s="171">
        <f t="shared" si="0"/>
        <v>0</v>
      </c>
      <c r="S29" s="77"/>
      <c r="T29" s="77"/>
      <c r="U29" s="77"/>
      <c r="V29" s="171">
        <f t="shared" si="1"/>
        <v>0</v>
      </c>
      <c r="W29" s="77"/>
      <c r="X29" s="172"/>
      <c r="Y29" s="172"/>
      <c r="Z29" s="77"/>
      <c r="AA29" s="77"/>
      <c r="AB29" s="77"/>
      <c r="AC29" s="171">
        <f t="shared" si="2"/>
        <v>0</v>
      </c>
      <c r="AD29" s="171">
        <f t="shared" si="3"/>
        <v>0</v>
      </c>
    </row>
    <row r="30" spans="1:30" x14ac:dyDescent="0.45">
      <c r="A30" s="78">
        <v>21</v>
      </c>
      <c r="B30" s="77"/>
      <c r="C30" s="77"/>
      <c r="D30" s="172"/>
      <c r="E30" s="77"/>
      <c r="F30" s="77"/>
      <c r="G30" s="77"/>
      <c r="H30" s="77"/>
      <c r="I30" s="172"/>
      <c r="J30" s="77"/>
      <c r="K30" s="77"/>
      <c r="L30" s="77"/>
      <c r="M30" s="77"/>
      <c r="N30" s="77"/>
      <c r="O30" s="77"/>
      <c r="P30" s="77"/>
      <c r="Q30" s="171"/>
      <c r="R30" s="171">
        <f t="shared" si="0"/>
        <v>0</v>
      </c>
      <c r="S30" s="77"/>
      <c r="T30" s="77"/>
      <c r="U30" s="77"/>
      <c r="V30" s="171">
        <f t="shared" si="1"/>
        <v>0</v>
      </c>
      <c r="W30" s="77"/>
      <c r="X30" s="172"/>
      <c r="Y30" s="172"/>
      <c r="Z30" s="77"/>
      <c r="AA30" s="77"/>
      <c r="AB30" s="77"/>
      <c r="AC30" s="171">
        <f t="shared" si="2"/>
        <v>0</v>
      </c>
      <c r="AD30" s="171">
        <f t="shared" si="3"/>
        <v>0</v>
      </c>
    </row>
    <row r="31" spans="1:30" x14ac:dyDescent="0.45">
      <c r="A31" s="78">
        <v>22</v>
      </c>
      <c r="B31" s="77"/>
      <c r="C31" s="77"/>
      <c r="D31" s="172"/>
      <c r="E31" s="77"/>
      <c r="F31" s="77"/>
      <c r="G31" s="77"/>
      <c r="H31" s="77"/>
      <c r="I31" s="172"/>
      <c r="J31" s="77"/>
      <c r="K31" s="77"/>
      <c r="L31" s="77"/>
      <c r="M31" s="77"/>
      <c r="N31" s="77"/>
      <c r="O31" s="77"/>
      <c r="P31" s="77"/>
      <c r="Q31" s="171"/>
      <c r="R31" s="171">
        <f t="shared" si="0"/>
        <v>0</v>
      </c>
      <c r="S31" s="77"/>
      <c r="T31" s="77"/>
      <c r="U31" s="77"/>
      <c r="V31" s="171">
        <f t="shared" si="1"/>
        <v>0</v>
      </c>
      <c r="W31" s="77"/>
      <c r="X31" s="172"/>
      <c r="Y31" s="172"/>
      <c r="Z31" s="77"/>
      <c r="AA31" s="77"/>
      <c r="AB31" s="77"/>
      <c r="AC31" s="171">
        <f t="shared" si="2"/>
        <v>0</v>
      </c>
      <c r="AD31" s="171">
        <f t="shared" si="3"/>
        <v>0</v>
      </c>
    </row>
    <row r="32" spans="1:30" x14ac:dyDescent="0.45">
      <c r="A32" s="78">
        <v>23</v>
      </c>
      <c r="B32" s="77"/>
      <c r="C32" s="77"/>
      <c r="D32" s="172"/>
      <c r="E32" s="77"/>
      <c r="F32" s="77"/>
      <c r="G32" s="77"/>
      <c r="H32" s="77"/>
      <c r="I32" s="172"/>
      <c r="J32" s="77"/>
      <c r="K32" s="77"/>
      <c r="L32" s="77"/>
      <c r="M32" s="77"/>
      <c r="N32" s="77"/>
      <c r="O32" s="77"/>
      <c r="P32" s="77"/>
      <c r="Q32" s="171"/>
      <c r="R32" s="171">
        <f t="shared" si="0"/>
        <v>0</v>
      </c>
      <c r="S32" s="77"/>
      <c r="T32" s="77"/>
      <c r="U32" s="77"/>
      <c r="V32" s="171">
        <f t="shared" si="1"/>
        <v>0</v>
      </c>
      <c r="W32" s="77"/>
      <c r="X32" s="172"/>
      <c r="Y32" s="172"/>
      <c r="Z32" s="77"/>
      <c r="AA32" s="77"/>
      <c r="AB32" s="77"/>
      <c r="AC32" s="171">
        <f t="shared" si="2"/>
        <v>0</v>
      </c>
      <c r="AD32" s="171">
        <f t="shared" si="3"/>
        <v>0</v>
      </c>
    </row>
    <row r="33" spans="1:30" x14ac:dyDescent="0.45">
      <c r="A33" s="78">
        <v>24</v>
      </c>
      <c r="B33" s="77"/>
      <c r="C33" s="77"/>
      <c r="D33" s="172"/>
      <c r="E33" s="77"/>
      <c r="F33" s="77"/>
      <c r="G33" s="77"/>
      <c r="H33" s="77"/>
      <c r="I33" s="172"/>
      <c r="J33" s="77"/>
      <c r="K33" s="77"/>
      <c r="L33" s="77"/>
      <c r="M33" s="77"/>
      <c r="N33" s="77"/>
      <c r="O33" s="77"/>
      <c r="P33" s="77"/>
      <c r="Q33" s="171"/>
      <c r="R33" s="171">
        <f t="shared" si="0"/>
        <v>0</v>
      </c>
      <c r="S33" s="77"/>
      <c r="T33" s="77"/>
      <c r="U33" s="77"/>
      <c r="V33" s="171">
        <f t="shared" si="1"/>
        <v>0</v>
      </c>
      <c r="W33" s="77"/>
      <c r="X33" s="172"/>
      <c r="Y33" s="172"/>
      <c r="Z33" s="77"/>
      <c r="AA33" s="77"/>
      <c r="AB33" s="77"/>
      <c r="AC33" s="171">
        <f t="shared" si="2"/>
        <v>0</v>
      </c>
      <c r="AD33" s="171">
        <f t="shared" si="3"/>
        <v>0</v>
      </c>
    </row>
    <row r="34" spans="1:30" x14ac:dyDescent="0.45">
      <c r="A34" s="78">
        <v>25</v>
      </c>
      <c r="B34" s="77"/>
      <c r="C34" s="77"/>
      <c r="D34" s="172"/>
      <c r="E34" s="77"/>
      <c r="F34" s="77"/>
      <c r="G34" s="77"/>
      <c r="H34" s="77"/>
      <c r="I34" s="172"/>
      <c r="J34" s="77"/>
      <c r="K34" s="77"/>
      <c r="L34" s="77"/>
      <c r="M34" s="77"/>
      <c r="N34" s="77"/>
      <c r="O34" s="77"/>
      <c r="P34" s="77"/>
      <c r="Q34" s="171"/>
      <c r="R34" s="171">
        <f t="shared" si="0"/>
        <v>0</v>
      </c>
      <c r="S34" s="77"/>
      <c r="T34" s="77"/>
      <c r="U34" s="77"/>
      <c r="V34" s="171">
        <f t="shared" si="1"/>
        <v>0</v>
      </c>
      <c r="W34" s="77"/>
      <c r="X34" s="172"/>
      <c r="Y34" s="172"/>
      <c r="Z34" s="77"/>
      <c r="AA34" s="77"/>
      <c r="AB34" s="77"/>
      <c r="AC34" s="171">
        <f t="shared" si="2"/>
        <v>0</v>
      </c>
      <c r="AD34" s="171">
        <f t="shared" si="3"/>
        <v>0</v>
      </c>
    </row>
    <row r="35" spans="1:30" x14ac:dyDescent="0.45">
      <c r="A35" s="78">
        <v>26</v>
      </c>
      <c r="B35" s="77"/>
      <c r="C35" s="77"/>
      <c r="D35" s="172"/>
      <c r="E35" s="77"/>
      <c r="F35" s="77"/>
      <c r="G35" s="77"/>
      <c r="H35" s="77"/>
      <c r="I35" s="172"/>
      <c r="J35" s="77"/>
      <c r="K35" s="77"/>
      <c r="L35" s="77"/>
      <c r="M35" s="77"/>
      <c r="N35" s="77"/>
      <c r="O35" s="77"/>
      <c r="P35" s="77"/>
      <c r="Q35" s="171"/>
      <c r="R35" s="171">
        <f t="shared" si="0"/>
        <v>0</v>
      </c>
      <c r="S35" s="77"/>
      <c r="T35" s="77"/>
      <c r="U35" s="77"/>
      <c r="V35" s="171">
        <f t="shared" si="1"/>
        <v>0</v>
      </c>
      <c r="W35" s="77"/>
      <c r="X35" s="172"/>
      <c r="Y35" s="172"/>
      <c r="Z35" s="77"/>
      <c r="AA35" s="77"/>
      <c r="AB35" s="77"/>
      <c r="AC35" s="171">
        <f t="shared" si="2"/>
        <v>0</v>
      </c>
      <c r="AD35" s="171">
        <f t="shared" si="3"/>
        <v>0</v>
      </c>
    </row>
    <row r="36" spans="1:30" ht="13.5" customHeight="1" x14ac:dyDescent="0.45">
      <c r="A36" s="78">
        <v>27</v>
      </c>
      <c r="B36" s="77"/>
      <c r="C36" s="77"/>
      <c r="D36" s="172"/>
      <c r="E36" s="77"/>
      <c r="F36" s="77"/>
      <c r="G36" s="77"/>
      <c r="H36" s="77"/>
      <c r="I36" s="172"/>
      <c r="J36" s="77"/>
      <c r="K36" s="77"/>
      <c r="L36" s="77"/>
      <c r="M36" s="77"/>
      <c r="N36" s="77"/>
      <c r="O36" s="77"/>
      <c r="P36" s="77"/>
      <c r="Q36" s="171"/>
      <c r="R36" s="171">
        <f t="shared" si="0"/>
        <v>0</v>
      </c>
      <c r="S36" s="77"/>
      <c r="T36" s="77"/>
      <c r="U36" s="77"/>
      <c r="V36" s="171">
        <f t="shared" si="1"/>
        <v>0</v>
      </c>
      <c r="W36" s="77"/>
      <c r="X36" s="172"/>
      <c r="Y36" s="172"/>
      <c r="Z36" s="77"/>
      <c r="AA36" s="77"/>
      <c r="AB36" s="77"/>
      <c r="AC36" s="171">
        <f t="shared" si="2"/>
        <v>0</v>
      </c>
      <c r="AD36" s="171">
        <f t="shared" si="3"/>
        <v>0</v>
      </c>
    </row>
    <row r="37" spans="1:30" x14ac:dyDescent="0.45">
      <c r="A37" s="78">
        <v>28</v>
      </c>
      <c r="B37" s="77"/>
      <c r="C37" s="77"/>
      <c r="D37" s="172"/>
      <c r="E37" s="77"/>
      <c r="F37" s="77"/>
      <c r="G37" s="77"/>
      <c r="H37" s="77"/>
      <c r="I37" s="172"/>
      <c r="J37" s="77"/>
      <c r="K37" s="77"/>
      <c r="L37" s="77"/>
      <c r="M37" s="77"/>
      <c r="N37" s="77"/>
      <c r="O37" s="77"/>
      <c r="P37" s="77"/>
      <c r="Q37" s="171"/>
      <c r="R37" s="171">
        <f t="shared" si="0"/>
        <v>0</v>
      </c>
      <c r="S37" s="77"/>
      <c r="T37" s="77"/>
      <c r="U37" s="77"/>
      <c r="V37" s="171">
        <f t="shared" si="1"/>
        <v>0</v>
      </c>
      <c r="W37" s="77"/>
      <c r="X37" s="172"/>
      <c r="Y37" s="172"/>
      <c r="Z37" s="77"/>
      <c r="AA37" s="77"/>
      <c r="AB37" s="77"/>
      <c r="AC37" s="171">
        <f t="shared" si="2"/>
        <v>0</v>
      </c>
      <c r="AD37" s="171">
        <f t="shared" si="3"/>
        <v>0</v>
      </c>
    </row>
    <row r="38" spans="1:30" x14ac:dyDescent="0.45">
      <c r="A38" s="78">
        <v>29</v>
      </c>
      <c r="B38" s="77"/>
      <c r="C38" s="77"/>
      <c r="D38" s="172"/>
      <c r="E38" s="77"/>
      <c r="F38" s="77"/>
      <c r="G38" s="77"/>
      <c r="H38" s="77"/>
      <c r="I38" s="172"/>
      <c r="J38" s="77"/>
      <c r="K38" s="77"/>
      <c r="L38" s="77"/>
      <c r="M38" s="77"/>
      <c r="N38" s="77"/>
      <c r="O38" s="77"/>
      <c r="P38" s="77"/>
      <c r="Q38" s="171"/>
      <c r="R38" s="171">
        <f t="shared" si="0"/>
        <v>0</v>
      </c>
      <c r="S38" s="77"/>
      <c r="T38" s="77"/>
      <c r="U38" s="77"/>
      <c r="V38" s="171">
        <f t="shared" si="1"/>
        <v>0</v>
      </c>
      <c r="W38" s="77"/>
      <c r="X38" s="172"/>
      <c r="Y38" s="172"/>
      <c r="Z38" s="77"/>
      <c r="AA38" s="77"/>
      <c r="AB38" s="77"/>
      <c r="AC38" s="171">
        <f t="shared" si="2"/>
        <v>0</v>
      </c>
      <c r="AD38" s="171">
        <f t="shared" si="3"/>
        <v>0</v>
      </c>
    </row>
    <row r="39" spans="1:30" x14ac:dyDescent="0.45">
      <c r="A39" s="78">
        <v>30</v>
      </c>
      <c r="B39" s="77"/>
      <c r="C39" s="77"/>
      <c r="D39" s="172"/>
      <c r="E39" s="77"/>
      <c r="F39" s="77"/>
      <c r="G39" s="77"/>
      <c r="H39" s="77"/>
      <c r="I39" s="172"/>
      <c r="J39" s="77"/>
      <c r="K39" s="77"/>
      <c r="L39" s="77"/>
      <c r="M39" s="77"/>
      <c r="N39" s="77"/>
      <c r="O39" s="77"/>
      <c r="P39" s="77"/>
      <c r="Q39" s="171"/>
      <c r="R39" s="171">
        <f t="shared" si="0"/>
        <v>0</v>
      </c>
      <c r="S39" s="77"/>
      <c r="T39" s="77"/>
      <c r="U39" s="77"/>
      <c r="V39" s="171">
        <f t="shared" si="1"/>
        <v>0</v>
      </c>
      <c r="W39" s="77"/>
      <c r="X39" s="172"/>
      <c r="Y39" s="172"/>
      <c r="Z39" s="77"/>
      <c r="AA39" s="77"/>
      <c r="AB39" s="77"/>
      <c r="AC39" s="171">
        <f t="shared" si="2"/>
        <v>0</v>
      </c>
      <c r="AD39" s="171">
        <f t="shared" si="3"/>
        <v>0</v>
      </c>
    </row>
    <row r="40" spans="1:30" x14ac:dyDescent="0.45">
      <c r="A40" s="78">
        <v>31</v>
      </c>
      <c r="B40" s="77"/>
      <c r="C40" s="77"/>
      <c r="D40" s="172"/>
      <c r="E40" s="77"/>
      <c r="F40" s="77"/>
      <c r="G40" s="77"/>
      <c r="H40" s="77"/>
      <c r="I40" s="172"/>
      <c r="J40" s="77"/>
      <c r="K40" s="77"/>
      <c r="L40" s="77"/>
      <c r="M40" s="77"/>
      <c r="N40" s="77"/>
      <c r="O40" s="77"/>
      <c r="P40" s="77"/>
      <c r="Q40" s="171"/>
      <c r="R40" s="171">
        <f t="shared" si="0"/>
        <v>0</v>
      </c>
      <c r="S40" s="77"/>
      <c r="T40" s="77"/>
      <c r="U40" s="77"/>
      <c r="V40" s="171">
        <f t="shared" si="1"/>
        <v>0</v>
      </c>
      <c r="W40" s="77"/>
      <c r="X40" s="172"/>
      <c r="Y40" s="172"/>
      <c r="Z40" s="77"/>
      <c r="AA40" s="77"/>
      <c r="AB40" s="77"/>
      <c r="AC40" s="171">
        <f t="shared" si="2"/>
        <v>0</v>
      </c>
      <c r="AD40" s="171">
        <f t="shared" si="3"/>
        <v>0</v>
      </c>
    </row>
    <row r="41" spans="1:30" x14ac:dyDescent="0.45">
      <c r="A41" s="78">
        <v>32</v>
      </c>
      <c r="B41" s="77"/>
      <c r="C41" s="77"/>
      <c r="D41" s="172"/>
      <c r="E41" s="77"/>
      <c r="F41" s="77"/>
      <c r="G41" s="77"/>
      <c r="H41" s="77"/>
      <c r="I41" s="172"/>
      <c r="J41" s="77"/>
      <c r="K41" s="77"/>
      <c r="L41" s="77"/>
      <c r="M41" s="77"/>
      <c r="N41" s="77"/>
      <c r="O41" s="77"/>
      <c r="P41" s="77"/>
      <c r="Q41" s="171"/>
      <c r="R41" s="171">
        <f t="shared" si="0"/>
        <v>0</v>
      </c>
      <c r="S41" s="77"/>
      <c r="T41" s="77"/>
      <c r="U41" s="77"/>
      <c r="V41" s="171">
        <f t="shared" si="1"/>
        <v>0</v>
      </c>
      <c r="W41" s="77"/>
      <c r="X41" s="172"/>
      <c r="Y41" s="77"/>
      <c r="Z41" s="77"/>
      <c r="AA41" s="77"/>
      <c r="AB41" s="77"/>
      <c r="AC41" s="171">
        <f t="shared" si="2"/>
        <v>0</v>
      </c>
      <c r="AD41" s="171">
        <f t="shared" si="3"/>
        <v>0</v>
      </c>
    </row>
    <row r="42" spans="1:30" x14ac:dyDescent="0.45">
      <c r="A42" s="78">
        <v>33</v>
      </c>
      <c r="B42" s="77"/>
      <c r="C42" s="77"/>
      <c r="D42" s="172"/>
      <c r="E42" s="77"/>
      <c r="F42" s="77"/>
      <c r="G42" s="77"/>
      <c r="H42" s="77"/>
      <c r="I42" s="172"/>
      <c r="J42" s="77"/>
      <c r="K42" s="77"/>
      <c r="L42" s="77"/>
      <c r="M42" s="77"/>
      <c r="N42" s="77"/>
      <c r="O42" s="77"/>
      <c r="P42" s="77"/>
      <c r="Q42" s="171"/>
      <c r="R42" s="171">
        <f t="shared" si="0"/>
        <v>0</v>
      </c>
      <c r="S42" s="77"/>
      <c r="T42" s="77"/>
      <c r="U42" s="77"/>
      <c r="V42" s="171">
        <f t="shared" si="1"/>
        <v>0</v>
      </c>
      <c r="W42" s="77"/>
      <c r="X42" s="172"/>
      <c r="Y42" s="77"/>
      <c r="Z42" s="77"/>
      <c r="AA42" s="77"/>
      <c r="AB42" s="77"/>
      <c r="AC42" s="171">
        <f t="shared" si="2"/>
        <v>0</v>
      </c>
      <c r="AD42" s="171">
        <f t="shared" si="3"/>
        <v>0</v>
      </c>
    </row>
  </sheetData>
  <mergeCells count="37">
    <mergeCell ref="J1:Z1"/>
    <mergeCell ref="J2:Z2"/>
    <mergeCell ref="J3:Z3"/>
    <mergeCell ref="A5:A8"/>
    <mergeCell ref="B5:B8"/>
    <mergeCell ref="C5:C8"/>
    <mergeCell ref="D5:D8"/>
    <mergeCell ref="E5:E8"/>
    <mergeCell ref="F5:F8"/>
    <mergeCell ref="G5:G8"/>
    <mergeCell ref="N5:O6"/>
    <mergeCell ref="P5:R6"/>
    <mergeCell ref="S5:AC5"/>
    <mergeCell ref="AD5:AD8"/>
    <mergeCell ref="S6:V6"/>
    <mergeCell ref="W6:AC6"/>
    <mergeCell ref="N7:O7"/>
    <mergeCell ref="P7:P8"/>
    <mergeCell ref="AA7:AA8"/>
    <mergeCell ref="AB7:AB8"/>
    <mergeCell ref="Q7:Q8"/>
    <mergeCell ref="R7:R8"/>
    <mergeCell ref="S7:S8"/>
    <mergeCell ref="T7:T8"/>
    <mergeCell ref="U7:U8"/>
    <mergeCell ref="V7:V8"/>
    <mergeCell ref="AC7:AC8"/>
    <mergeCell ref="W7:W8"/>
    <mergeCell ref="X7:X8"/>
    <mergeCell ref="Y7:Y8"/>
    <mergeCell ref="Z7:Z8"/>
    <mergeCell ref="H5:H8"/>
    <mergeCell ref="I5:I8"/>
    <mergeCell ref="J5:J8"/>
    <mergeCell ref="K5:K8"/>
    <mergeCell ref="L5:L8"/>
    <mergeCell ref="M5:M8"/>
  </mergeCells>
  <pageMargins left="0.7" right="0.7" top="0.75" bottom="0.75" header="0.3" footer="0.3"/>
  <pageSetup paperSize="9" scale="2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1775-CFF6-46E7-B818-473D402A585F}">
  <dimension ref="A1:AZ42"/>
  <sheetViews>
    <sheetView tabSelected="1" zoomScale="55" zoomScaleNormal="55" workbookViewId="0">
      <selection activeCell="H15" sqref="H15"/>
    </sheetView>
  </sheetViews>
  <sheetFormatPr defaultRowHeight="14.25" x14ac:dyDescent="0.45"/>
  <cols>
    <col min="2" max="2" width="16.73046875" customWidth="1"/>
    <col min="6" max="6" width="41.59765625" customWidth="1"/>
    <col min="8" max="8" width="23" customWidth="1"/>
    <col min="9" max="9" width="14.1328125" customWidth="1"/>
    <col min="14" max="14" width="18.73046875" customWidth="1"/>
    <col min="15" max="15" width="16.59765625" customWidth="1"/>
    <col min="16" max="16" width="22.86328125" customWidth="1"/>
  </cols>
  <sheetData>
    <row r="1" spans="1:52" x14ac:dyDescent="0.45">
      <c r="P1" s="81" t="s">
        <v>107</v>
      </c>
    </row>
    <row r="2" spans="1:52" x14ac:dyDescent="0.35">
      <c r="A2" s="161" t="s">
        <v>110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85"/>
      <c r="AJ2" s="76"/>
      <c r="AK2" s="76"/>
      <c r="AZ2" s="81" t="s">
        <v>56</v>
      </c>
    </row>
    <row r="3" spans="1:52" x14ac:dyDescent="0.35">
      <c r="A3" s="161" t="s">
        <v>109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85"/>
      <c r="AJ3" s="76"/>
      <c r="AK3" s="76"/>
      <c r="AZ3" s="81"/>
    </row>
    <row r="4" spans="1:52" x14ac:dyDescent="0.35">
      <c r="A4" s="161" t="s">
        <v>108</v>
      </c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85"/>
      <c r="AJ4" s="76"/>
      <c r="AK4" s="76"/>
    </row>
    <row r="5" spans="1:52" x14ac:dyDescent="0.35"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J5" s="76"/>
      <c r="AK5" s="76"/>
    </row>
    <row r="7" spans="1:52" ht="15" customHeight="1" x14ac:dyDescent="0.45">
      <c r="A7" s="138" t="s">
        <v>57</v>
      </c>
      <c r="B7" s="138" t="s">
        <v>101</v>
      </c>
      <c r="C7" s="138" t="s">
        <v>89</v>
      </c>
      <c r="D7" s="138" t="s">
        <v>90</v>
      </c>
      <c r="E7" s="138" t="s">
        <v>91</v>
      </c>
      <c r="F7" s="138" t="s">
        <v>92</v>
      </c>
      <c r="G7" s="138" t="s">
        <v>93</v>
      </c>
      <c r="H7" s="169" t="s">
        <v>94</v>
      </c>
      <c r="I7" s="170"/>
      <c r="J7" s="138" t="s">
        <v>100</v>
      </c>
      <c r="K7" s="138" t="s">
        <v>29</v>
      </c>
      <c r="L7" s="138" t="s">
        <v>95</v>
      </c>
      <c r="M7" s="138" t="s">
        <v>96</v>
      </c>
      <c r="N7" s="138" t="s">
        <v>97</v>
      </c>
      <c r="O7" s="138" t="s">
        <v>103</v>
      </c>
      <c r="P7" s="138" t="s">
        <v>104</v>
      </c>
    </row>
    <row r="8" spans="1:52" ht="28.5" x14ac:dyDescent="0.45">
      <c r="A8" s="138"/>
      <c r="B8" s="138"/>
      <c r="C8" s="138"/>
      <c r="D8" s="138"/>
      <c r="E8" s="138"/>
      <c r="F8" s="138"/>
      <c r="G8" s="138"/>
      <c r="H8" s="86" t="s">
        <v>98</v>
      </c>
      <c r="I8" s="86" t="s">
        <v>99</v>
      </c>
      <c r="J8" s="138"/>
      <c r="K8" s="138"/>
      <c r="L8" s="138"/>
      <c r="M8" s="138"/>
      <c r="N8" s="138"/>
      <c r="O8" s="138"/>
      <c r="P8" s="138"/>
    </row>
    <row r="9" spans="1:52" s="87" customFormat="1" x14ac:dyDescent="0.45">
      <c r="A9" s="88">
        <v>1</v>
      </c>
      <c r="B9" s="88">
        <v>2</v>
      </c>
      <c r="C9" s="88">
        <v>3</v>
      </c>
      <c r="D9" s="88">
        <v>4</v>
      </c>
      <c r="E9" s="88">
        <v>5</v>
      </c>
      <c r="F9" s="88">
        <v>6</v>
      </c>
      <c r="G9" s="88">
        <v>7</v>
      </c>
      <c r="H9" s="88">
        <v>8</v>
      </c>
      <c r="I9" s="88">
        <v>9</v>
      </c>
      <c r="J9" s="88">
        <v>10</v>
      </c>
      <c r="K9" s="88">
        <v>11</v>
      </c>
      <c r="L9" s="88">
        <v>12</v>
      </c>
      <c r="M9" s="88">
        <v>13</v>
      </c>
      <c r="N9" s="88">
        <v>14</v>
      </c>
      <c r="O9" s="88">
        <v>15</v>
      </c>
      <c r="P9" s="88" t="s">
        <v>102</v>
      </c>
    </row>
    <row r="10" spans="1:52" x14ac:dyDescent="0.45">
      <c r="A10" s="78">
        <v>1</v>
      </c>
      <c r="B10" s="77"/>
      <c r="C10" s="77"/>
      <c r="D10" s="172"/>
      <c r="E10" s="77"/>
      <c r="F10" s="77"/>
      <c r="G10" s="77"/>
      <c r="H10" s="172"/>
      <c r="I10" s="172"/>
      <c r="J10" s="77"/>
      <c r="K10" s="77"/>
      <c r="L10" s="77"/>
      <c r="M10" s="77"/>
      <c r="N10" s="77"/>
      <c r="O10" s="77"/>
      <c r="P10" s="77">
        <f>N10*O10</f>
        <v>0</v>
      </c>
    </row>
    <row r="11" spans="1:52" x14ac:dyDescent="0.45">
      <c r="A11" s="78">
        <v>2</v>
      </c>
      <c r="B11" s="77"/>
      <c r="C11" s="77"/>
      <c r="D11" s="172"/>
      <c r="E11" s="77"/>
      <c r="F11" s="77"/>
      <c r="G11" s="77"/>
      <c r="H11" s="172"/>
      <c r="I11" s="172"/>
      <c r="J11" s="77"/>
      <c r="K11" s="77"/>
      <c r="L11" s="77"/>
      <c r="M11" s="77"/>
      <c r="N11" s="77"/>
      <c r="O11" s="77"/>
      <c r="P11" s="77">
        <f t="shared" ref="P11:P42" si="0">N11*O11</f>
        <v>0</v>
      </c>
    </row>
    <row r="12" spans="1:52" x14ac:dyDescent="0.45">
      <c r="A12" s="78">
        <v>3</v>
      </c>
      <c r="B12" s="77"/>
      <c r="C12" s="77"/>
      <c r="D12" s="172"/>
      <c r="E12" s="77"/>
      <c r="F12" s="77"/>
      <c r="G12" s="77"/>
      <c r="H12" s="172"/>
      <c r="I12" s="172"/>
      <c r="J12" s="77"/>
      <c r="K12" s="77"/>
      <c r="L12" s="77"/>
      <c r="M12" s="77"/>
      <c r="N12" s="77"/>
      <c r="O12" s="77"/>
      <c r="P12" s="77">
        <f t="shared" si="0"/>
        <v>0</v>
      </c>
    </row>
    <row r="13" spans="1:52" x14ac:dyDescent="0.45">
      <c r="A13" s="78">
        <v>4</v>
      </c>
      <c r="B13" s="77"/>
      <c r="C13" s="77"/>
      <c r="D13" s="172"/>
      <c r="E13" s="77"/>
      <c r="F13" s="77"/>
      <c r="G13" s="77"/>
      <c r="H13" s="172"/>
      <c r="I13" s="172"/>
      <c r="J13" s="77"/>
      <c r="K13" s="77"/>
      <c r="L13" s="77"/>
      <c r="M13" s="77"/>
      <c r="N13" s="77"/>
      <c r="O13" s="77"/>
      <c r="P13" s="77">
        <f t="shared" si="0"/>
        <v>0</v>
      </c>
    </row>
    <row r="14" spans="1:52" x14ac:dyDescent="0.45">
      <c r="A14" s="78">
        <v>5</v>
      </c>
      <c r="B14" s="77"/>
      <c r="C14" s="77"/>
      <c r="D14" s="172"/>
      <c r="E14" s="77"/>
      <c r="F14" s="77"/>
      <c r="G14" s="77"/>
      <c r="H14" s="172"/>
      <c r="I14" s="172"/>
      <c r="J14" s="77"/>
      <c r="K14" s="77"/>
      <c r="L14" s="77"/>
      <c r="M14" s="77"/>
      <c r="N14" s="77"/>
      <c r="O14" s="77"/>
      <c r="P14" s="77">
        <f t="shared" si="0"/>
        <v>0</v>
      </c>
    </row>
    <row r="15" spans="1:52" x14ac:dyDescent="0.45">
      <c r="A15" s="78">
        <v>6</v>
      </c>
      <c r="B15" s="77"/>
      <c r="C15" s="77"/>
      <c r="D15" s="172"/>
      <c r="E15" s="77"/>
      <c r="F15" s="77"/>
      <c r="G15" s="77"/>
      <c r="H15" s="172"/>
      <c r="I15" s="172"/>
      <c r="J15" s="77"/>
      <c r="K15" s="77"/>
      <c r="L15" s="77"/>
      <c r="M15" s="77"/>
      <c r="N15" s="77"/>
      <c r="O15" s="77"/>
      <c r="P15" s="77">
        <f t="shared" si="0"/>
        <v>0</v>
      </c>
    </row>
    <row r="16" spans="1:52" x14ac:dyDescent="0.45">
      <c r="A16" s="78">
        <v>7</v>
      </c>
      <c r="B16" s="77"/>
      <c r="C16" s="77"/>
      <c r="D16" s="172"/>
      <c r="E16" s="77"/>
      <c r="F16" s="77"/>
      <c r="G16" s="77"/>
      <c r="H16" s="172"/>
      <c r="I16" s="172"/>
      <c r="J16" s="77"/>
      <c r="K16" s="77"/>
      <c r="L16" s="77"/>
      <c r="M16" s="77"/>
      <c r="N16" s="77"/>
      <c r="O16" s="77"/>
      <c r="P16" s="77">
        <f t="shared" si="0"/>
        <v>0</v>
      </c>
    </row>
    <row r="17" spans="1:16" x14ac:dyDescent="0.45">
      <c r="A17" s="78">
        <v>8</v>
      </c>
      <c r="B17" s="77"/>
      <c r="C17" s="77"/>
      <c r="D17" s="172"/>
      <c r="E17" s="77"/>
      <c r="F17" s="77"/>
      <c r="G17" s="77"/>
      <c r="H17" s="172"/>
      <c r="I17" s="172"/>
      <c r="J17" s="77"/>
      <c r="K17" s="77"/>
      <c r="L17" s="77"/>
      <c r="M17" s="77"/>
      <c r="N17" s="77"/>
      <c r="O17" s="77"/>
      <c r="P17" s="77">
        <f t="shared" si="0"/>
        <v>0</v>
      </c>
    </row>
    <row r="18" spans="1:16" x14ac:dyDescent="0.45">
      <c r="A18" s="78">
        <v>9</v>
      </c>
      <c r="B18" s="77"/>
      <c r="C18" s="77"/>
      <c r="D18" s="172"/>
      <c r="E18" s="77"/>
      <c r="F18" s="77"/>
      <c r="G18" s="77"/>
      <c r="H18" s="172"/>
      <c r="I18" s="172"/>
      <c r="J18" s="77"/>
      <c r="K18" s="77"/>
      <c r="L18" s="77"/>
      <c r="M18" s="77"/>
      <c r="N18" s="77"/>
      <c r="O18" s="77"/>
      <c r="P18" s="77">
        <f t="shared" si="0"/>
        <v>0</v>
      </c>
    </row>
    <row r="19" spans="1:16" x14ac:dyDescent="0.45">
      <c r="A19" s="78">
        <v>10</v>
      </c>
      <c r="B19" s="77"/>
      <c r="C19" s="77"/>
      <c r="D19" s="172"/>
      <c r="E19" s="77"/>
      <c r="F19" s="77"/>
      <c r="G19" s="77"/>
      <c r="H19" s="172"/>
      <c r="I19" s="172"/>
      <c r="J19" s="77"/>
      <c r="K19" s="77"/>
      <c r="L19" s="77"/>
      <c r="M19" s="77"/>
      <c r="N19" s="77"/>
      <c r="O19" s="77"/>
      <c r="P19" s="77">
        <f t="shared" si="0"/>
        <v>0</v>
      </c>
    </row>
    <row r="20" spans="1:16" x14ac:dyDescent="0.45">
      <c r="A20" s="78">
        <v>11</v>
      </c>
      <c r="B20" s="77"/>
      <c r="C20" s="77"/>
      <c r="D20" s="172"/>
      <c r="E20" s="77"/>
      <c r="F20" s="77"/>
      <c r="G20" s="77"/>
      <c r="H20" s="172"/>
      <c r="I20" s="172"/>
      <c r="J20" s="77"/>
      <c r="K20" s="77"/>
      <c r="L20" s="77"/>
      <c r="M20" s="77"/>
      <c r="N20" s="77"/>
      <c r="O20" s="77"/>
      <c r="P20" s="77">
        <f t="shared" si="0"/>
        <v>0</v>
      </c>
    </row>
    <row r="21" spans="1:16" x14ac:dyDescent="0.45">
      <c r="A21" s="78">
        <v>12</v>
      </c>
      <c r="B21" s="77"/>
      <c r="C21" s="77"/>
      <c r="D21" s="172"/>
      <c r="E21" s="77"/>
      <c r="F21" s="77"/>
      <c r="G21" s="77"/>
      <c r="H21" s="172"/>
      <c r="I21" s="172"/>
      <c r="J21" s="77"/>
      <c r="K21" s="77"/>
      <c r="L21" s="77"/>
      <c r="M21" s="77"/>
      <c r="N21" s="77"/>
      <c r="O21" s="77"/>
      <c r="P21" s="77">
        <f t="shared" si="0"/>
        <v>0</v>
      </c>
    </row>
    <row r="22" spans="1:16" x14ac:dyDescent="0.45">
      <c r="A22" s="78">
        <v>13</v>
      </c>
      <c r="B22" s="77"/>
      <c r="C22" s="77"/>
      <c r="D22" s="172"/>
      <c r="E22" s="77"/>
      <c r="F22" s="77"/>
      <c r="G22" s="77"/>
      <c r="H22" s="172"/>
      <c r="I22" s="172"/>
      <c r="J22" s="77"/>
      <c r="K22" s="77"/>
      <c r="L22" s="77"/>
      <c r="M22" s="77"/>
      <c r="N22" s="77"/>
      <c r="O22" s="77"/>
      <c r="P22" s="77">
        <f t="shared" si="0"/>
        <v>0</v>
      </c>
    </row>
    <row r="23" spans="1:16" x14ac:dyDescent="0.45">
      <c r="A23" s="78">
        <v>14</v>
      </c>
      <c r="B23" s="77"/>
      <c r="C23" s="77"/>
      <c r="D23" s="172"/>
      <c r="E23" s="77"/>
      <c r="F23" s="77"/>
      <c r="G23" s="77"/>
      <c r="H23" s="172"/>
      <c r="I23" s="172"/>
      <c r="J23" s="77"/>
      <c r="K23" s="77"/>
      <c r="L23" s="77"/>
      <c r="M23" s="77"/>
      <c r="N23" s="77"/>
      <c r="O23" s="77"/>
      <c r="P23" s="77">
        <f t="shared" si="0"/>
        <v>0</v>
      </c>
    </row>
    <row r="24" spans="1:16" x14ac:dyDescent="0.45">
      <c r="A24" s="78">
        <v>15</v>
      </c>
      <c r="B24" s="77"/>
      <c r="C24" s="77"/>
      <c r="D24" s="172"/>
      <c r="E24" s="77"/>
      <c r="F24" s="77"/>
      <c r="G24" s="77"/>
      <c r="H24" s="172"/>
      <c r="I24" s="172"/>
      <c r="J24" s="77"/>
      <c r="K24" s="77"/>
      <c r="L24" s="77"/>
      <c r="M24" s="77"/>
      <c r="N24" s="77"/>
      <c r="O24" s="77"/>
      <c r="P24" s="77">
        <f t="shared" si="0"/>
        <v>0</v>
      </c>
    </row>
    <row r="25" spans="1:16" x14ac:dyDescent="0.45">
      <c r="A25" s="78">
        <v>16</v>
      </c>
      <c r="B25" s="77"/>
      <c r="C25" s="77"/>
      <c r="D25" s="172"/>
      <c r="E25" s="77"/>
      <c r="F25" s="77"/>
      <c r="G25" s="77"/>
      <c r="H25" s="172"/>
      <c r="I25" s="172"/>
      <c r="J25" s="77"/>
      <c r="K25" s="77"/>
      <c r="L25" s="77"/>
      <c r="M25" s="77"/>
      <c r="N25" s="77"/>
      <c r="O25" s="77"/>
      <c r="P25" s="77">
        <f t="shared" si="0"/>
        <v>0</v>
      </c>
    </row>
    <row r="26" spans="1:16" x14ac:dyDescent="0.45">
      <c r="A26" s="78">
        <v>17</v>
      </c>
      <c r="B26" s="77"/>
      <c r="C26" s="77"/>
      <c r="D26" s="172"/>
      <c r="E26" s="77"/>
      <c r="F26" s="77"/>
      <c r="G26" s="77"/>
      <c r="H26" s="172"/>
      <c r="I26" s="172"/>
      <c r="J26" s="77"/>
      <c r="K26" s="77"/>
      <c r="L26" s="77"/>
      <c r="M26" s="77"/>
      <c r="N26" s="77"/>
      <c r="O26" s="77"/>
      <c r="P26" s="77">
        <f t="shared" si="0"/>
        <v>0</v>
      </c>
    </row>
    <row r="27" spans="1:16" x14ac:dyDescent="0.45">
      <c r="A27" s="78">
        <v>18</v>
      </c>
      <c r="B27" s="77"/>
      <c r="C27" s="77"/>
      <c r="D27" s="172"/>
      <c r="E27" s="77"/>
      <c r="F27" s="77"/>
      <c r="G27" s="77"/>
      <c r="H27" s="172"/>
      <c r="I27" s="172"/>
      <c r="J27" s="77"/>
      <c r="K27" s="77"/>
      <c r="L27" s="77"/>
      <c r="M27" s="77"/>
      <c r="N27" s="77"/>
      <c r="O27" s="77"/>
      <c r="P27" s="77">
        <f t="shared" si="0"/>
        <v>0</v>
      </c>
    </row>
    <row r="28" spans="1:16" x14ac:dyDescent="0.45">
      <c r="A28" s="78">
        <v>19</v>
      </c>
      <c r="B28" s="77"/>
      <c r="C28" s="77"/>
      <c r="D28" s="172"/>
      <c r="E28" s="77"/>
      <c r="F28" s="77"/>
      <c r="G28" s="77"/>
      <c r="H28" s="172"/>
      <c r="I28" s="172"/>
      <c r="J28" s="77"/>
      <c r="K28" s="77"/>
      <c r="L28" s="77"/>
      <c r="M28" s="77"/>
      <c r="N28" s="77"/>
      <c r="O28" s="77"/>
      <c r="P28" s="77">
        <f t="shared" si="0"/>
        <v>0</v>
      </c>
    </row>
    <row r="29" spans="1:16" x14ac:dyDescent="0.45">
      <c r="A29" s="78">
        <v>20</v>
      </c>
      <c r="B29" s="77"/>
      <c r="C29" s="77"/>
      <c r="D29" s="172"/>
      <c r="E29" s="77"/>
      <c r="F29" s="77"/>
      <c r="G29" s="77"/>
      <c r="H29" s="172"/>
      <c r="I29" s="172"/>
      <c r="J29" s="77"/>
      <c r="K29" s="77"/>
      <c r="L29" s="77"/>
      <c r="M29" s="77"/>
      <c r="N29" s="77"/>
      <c r="O29" s="77"/>
      <c r="P29" s="77">
        <f t="shared" si="0"/>
        <v>0</v>
      </c>
    </row>
    <row r="30" spans="1:16" x14ac:dyDescent="0.45">
      <c r="A30" s="78">
        <v>21</v>
      </c>
      <c r="B30" s="77"/>
      <c r="C30" s="77"/>
      <c r="D30" s="172"/>
      <c r="E30" s="77"/>
      <c r="F30" s="77"/>
      <c r="G30" s="77"/>
      <c r="H30" s="172"/>
      <c r="I30" s="172"/>
      <c r="J30" s="77"/>
      <c r="K30" s="77"/>
      <c r="L30" s="77"/>
      <c r="M30" s="77"/>
      <c r="N30" s="77"/>
      <c r="O30" s="77"/>
      <c r="P30" s="77">
        <f t="shared" si="0"/>
        <v>0</v>
      </c>
    </row>
    <row r="31" spans="1:16" x14ac:dyDescent="0.45">
      <c r="A31" s="78">
        <v>22</v>
      </c>
      <c r="B31" s="77"/>
      <c r="C31" s="77"/>
      <c r="D31" s="172"/>
      <c r="E31" s="77"/>
      <c r="F31" s="77"/>
      <c r="G31" s="77"/>
      <c r="H31" s="172"/>
      <c r="I31" s="172"/>
      <c r="J31" s="77"/>
      <c r="K31" s="77"/>
      <c r="L31" s="77"/>
      <c r="M31" s="77"/>
      <c r="N31" s="77"/>
      <c r="O31" s="77"/>
      <c r="P31" s="77">
        <f t="shared" si="0"/>
        <v>0</v>
      </c>
    </row>
    <row r="32" spans="1:16" x14ac:dyDescent="0.45">
      <c r="A32" s="78">
        <v>23</v>
      </c>
      <c r="B32" s="77"/>
      <c r="C32" s="77"/>
      <c r="D32" s="172"/>
      <c r="E32" s="77"/>
      <c r="F32" s="77"/>
      <c r="G32" s="77"/>
      <c r="H32" s="172"/>
      <c r="I32" s="172"/>
      <c r="J32" s="77"/>
      <c r="K32" s="77"/>
      <c r="L32" s="77"/>
      <c r="M32" s="77"/>
      <c r="N32" s="77"/>
      <c r="O32" s="77"/>
      <c r="P32" s="77">
        <f t="shared" si="0"/>
        <v>0</v>
      </c>
    </row>
    <row r="33" spans="1:16" x14ac:dyDescent="0.45">
      <c r="A33" s="78">
        <v>24</v>
      </c>
      <c r="B33" s="77"/>
      <c r="C33" s="77"/>
      <c r="D33" s="172"/>
      <c r="E33" s="77"/>
      <c r="F33" s="77"/>
      <c r="G33" s="77"/>
      <c r="H33" s="172"/>
      <c r="I33" s="172"/>
      <c r="J33" s="77"/>
      <c r="K33" s="77"/>
      <c r="L33" s="77"/>
      <c r="M33" s="77"/>
      <c r="N33" s="77"/>
      <c r="O33" s="77"/>
      <c r="P33" s="77">
        <f t="shared" si="0"/>
        <v>0</v>
      </c>
    </row>
    <row r="34" spans="1:16" x14ac:dyDescent="0.45">
      <c r="A34" s="78">
        <v>25</v>
      </c>
      <c r="B34" s="77"/>
      <c r="C34" s="77"/>
      <c r="D34" s="172"/>
      <c r="E34" s="77"/>
      <c r="F34" s="77"/>
      <c r="G34" s="77"/>
      <c r="H34" s="172"/>
      <c r="I34" s="172"/>
      <c r="J34" s="77"/>
      <c r="K34" s="77"/>
      <c r="L34" s="77"/>
      <c r="M34" s="77"/>
      <c r="N34" s="77"/>
      <c r="O34" s="77"/>
      <c r="P34" s="77">
        <f t="shared" si="0"/>
        <v>0</v>
      </c>
    </row>
    <row r="35" spans="1:16" x14ac:dyDescent="0.45">
      <c r="A35" s="78">
        <v>26</v>
      </c>
      <c r="B35" s="77"/>
      <c r="C35" s="77"/>
      <c r="D35" s="172"/>
      <c r="E35" s="77"/>
      <c r="F35" s="77"/>
      <c r="G35" s="77"/>
      <c r="H35" s="172"/>
      <c r="I35" s="172"/>
      <c r="J35" s="77"/>
      <c r="K35" s="77"/>
      <c r="L35" s="77"/>
      <c r="M35" s="77"/>
      <c r="N35" s="77"/>
      <c r="O35" s="77"/>
      <c r="P35" s="77">
        <f t="shared" si="0"/>
        <v>0</v>
      </c>
    </row>
    <row r="36" spans="1:16" x14ac:dyDescent="0.45">
      <c r="A36" s="78">
        <v>27</v>
      </c>
      <c r="B36" s="77"/>
      <c r="C36" s="77"/>
      <c r="D36" s="172"/>
      <c r="E36" s="77"/>
      <c r="F36" s="77"/>
      <c r="G36" s="77"/>
      <c r="H36" s="172"/>
      <c r="I36" s="172"/>
      <c r="J36" s="77"/>
      <c r="K36" s="77"/>
      <c r="L36" s="77"/>
      <c r="M36" s="77"/>
      <c r="N36" s="77"/>
      <c r="O36" s="77"/>
      <c r="P36" s="77">
        <f t="shared" si="0"/>
        <v>0</v>
      </c>
    </row>
    <row r="37" spans="1:16" x14ac:dyDescent="0.45">
      <c r="A37" s="78">
        <v>28</v>
      </c>
      <c r="B37" s="77"/>
      <c r="C37" s="77"/>
      <c r="D37" s="172"/>
      <c r="E37" s="77"/>
      <c r="F37" s="77"/>
      <c r="G37" s="77"/>
      <c r="H37" s="172"/>
      <c r="I37" s="172"/>
      <c r="J37" s="77"/>
      <c r="K37" s="77"/>
      <c r="L37" s="77"/>
      <c r="M37" s="77"/>
      <c r="N37" s="77"/>
      <c r="O37" s="77"/>
      <c r="P37" s="77">
        <f t="shared" si="0"/>
        <v>0</v>
      </c>
    </row>
    <row r="38" spans="1:16" x14ac:dyDescent="0.45">
      <c r="A38" s="78">
        <v>29</v>
      </c>
      <c r="B38" s="77"/>
      <c r="C38" s="77"/>
      <c r="D38" s="172"/>
      <c r="E38" s="77"/>
      <c r="F38" s="77"/>
      <c r="G38" s="77"/>
      <c r="H38" s="172"/>
      <c r="I38" s="172"/>
      <c r="J38" s="77"/>
      <c r="K38" s="77"/>
      <c r="L38" s="77"/>
      <c r="M38" s="77"/>
      <c r="N38" s="77"/>
      <c r="O38" s="77"/>
      <c r="P38" s="77">
        <f t="shared" si="0"/>
        <v>0</v>
      </c>
    </row>
    <row r="39" spans="1:16" x14ac:dyDescent="0.45">
      <c r="A39" s="78">
        <v>30</v>
      </c>
      <c r="B39" s="77"/>
      <c r="C39" s="77"/>
      <c r="D39" s="172"/>
      <c r="E39" s="77"/>
      <c r="F39" s="77"/>
      <c r="G39" s="77"/>
      <c r="H39" s="172"/>
      <c r="I39" s="172"/>
      <c r="J39" s="77"/>
      <c r="K39" s="77"/>
      <c r="L39" s="77"/>
      <c r="M39" s="77"/>
      <c r="N39" s="77"/>
      <c r="O39" s="77"/>
      <c r="P39" s="77">
        <f t="shared" si="0"/>
        <v>0</v>
      </c>
    </row>
    <row r="40" spans="1:16" x14ac:dyDescent="0.45">
      <c r="A40" s="78">
        <v>31</v>
      </c>
      <c r="B40" s="77"/>
      <c r="C40" s="77"/>
      <c r="D40" s="172"/>
      <c r="E40" s="77"/>
      <c r="F40" s="77"/>
      <c r="G40" s="77"/>
      <c r="H40" s="172"/>
      <c r="I40" s="172"/>
      <c r="J40" s="77"/>
      <c r="K40" s="77"/>
      <c r="L40" s="77"/>
      <c r="M40" s="77"/>
      <c r="N40" s="77"/>
      <c r="O40" s="77"/>
      <c r="P40" s="77">
        <f t="shared" si="0"/>
        <v>0</v>
      </c>
    </row>
    <row r="41" spans="1:16" x14ac:dyDescent="0.45">
      <c r="A41" s="78">
        <v>32</v>
      </c>
      <c r="B41" s="77"/>
      <c r="C41" s="77"/>
      <c r="D41" s="172"/>
      <c r="E41" s="77"/>
      <c r="F41" s="77"/>
      <c r="G41" s="77"/>
      <c r="H41" s="172"/>
      <c r="I41" s="172"/>
      <c r="J41" s="77"/>
      <c r="K41" s="77"/>
      <c r="L41" s="77"/>
      <c r="M41" s="77"/>
      <c r="N41" s="77"/>
      <c r="O41" s="77"/>
      <c r="P41" s="77">
        <f t="shared" si="0"/>
        <v>0</v>
      </c>
    </row>
    <row r="42" spans="1:16" x14ac:dyDescent="0.45">
      <c r="A42" s="78">
        <v>33</v>
      </c>
      <c r="B42" s="77"/>
      <c r="C42" s="77"/>
      <c r="D42" s="172"/>
      <c r="E42" s="77"/>
      <c r="F42" s="77"/>
      <c r="G42" s="77"/>
      <c r="H42" s="172"/>
      <c r="I42" s="172"/>
      <c r="J42" s="77"/>
      <c r="K42" s="77"/>
      <c r="L42" s="77"/>
      <c r="M42" s="77"/>
      <c r="N42" s="77"/>
      <c r="O42" s="77"/>
      <c r="P42" s="77">
        <f t="shared" si="0"/>
        <v>0</v>
      </c>
    </row>
  </sheetData>
  <mergeCells count="18">
    <mergeCell ref="P7:P8"/>
    <mergeCell ref="A2:P2"/>
    <mergeCell ref="A3:P3"/>
    <mergeCell ref="A4:P4"/>
    <mergeCell ref="G7:G8"/>
    <mergeCell ref="J7:J8"/>
    <mergeCell ref="K7:K8"/>
    <mergeCell ref="L7:L8"/>
    <mergeCell ref="M7:M8"/>
    <mergeCell ref="N7:N8"/>
    <mergeCell ref="H7:I7"/>
    <mergeCell ref="A7:A8"/>
    <mergeCell ref="B7:B8"/>
    <mergeCell ref="C7:C8"/>
    <mergeCell ref="D7:D8"/>
    <mergeCell ref="E7:E8"/>
    <mergeCell ref="F7:F8"/>
    <mergeCell ref="O7:O8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LUAR DAERAH.</vt:lpstr>
      <vt:lpstr>Luar Daerah</vt:lpstr>
      <vt:lpstr>Dalam Daerah</vt:lpstr>
      <vt:lpstr>Paket Meeting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UISER</dc:creator>
  <cp:keywords/>
  <dc:description/>
  <cp:lastModifiedBy>acer acer</cp:lastModifiedBy>
  <cp:revision/>
  <dcterms:created xsi:type="dcterms:W3CDTF">2022-10-24T02:15:20Z</dcterms:created>
  <dcterms:modified xsi:type="dcterms:W3CDTF">2026-02-15T05:30:27Z</dcterms:modified>
  <cp:category/>
  <cp:contentStatus/>
</cp:coreProperties>
</file>